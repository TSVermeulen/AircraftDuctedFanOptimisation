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thomasvermeule_tudelft_nl/Documents/Documents/UDC and Optimisation Framework/AircraftDuctedFanOptimisation/Datasets/GTP-26-1236/Validation/"/>
    </mc:Choice>
  </mc:AlternateContent>
  <xr:revisionPtr revIDLastSave="108" documentId="13_ncr:1_{85ED6776-C4D8-4E62-AB2A-AD3DD39C3C1A}" xr6:coauthVersionLast="47" xr6:coauthVersionMax="47" xr10:uidLastSave="{8520DBE0-5AEE-4A62-8604-8BC82624B1E1}"/>
  <bookViews>
    <workbookView xWindow="-25515" yWindow="2190" windowWidth="21600" windowHeight="11295" xr2:uid="{09A38DA9-5803-4F4A-AC50-1ACCD92E16A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" i="2"/>
  <c r="K3" i="2"/>
  <c r="L3" i="2"/>
  <c r="K4" i="2"/>
  <c r="L4" i="2"/>
  <c r="M4" i="2"/>
  <c r="K5" i="2"/>
  <c r="L5" i="2"/>
  <c r="K6" i="2"/>
  <c r="L6" i="2"/>
  <c r="K7" i="2"/>
  <c r="L7" i="2"/>
  <c r="K8" i="2"/>
  <c r="L8" i="2"/>
  <c r="M8" i="2"/>
  <c r="K9" i="2"/>
  <c r="L9" i="2"/>
  <c r="M9" i="2"/>
  <c r="K10" i="2"/>
  <c r="L10" i="2"/>
  <c r="K11" i="2"/>
  <c r="L11" i="2"/>
  <c r="M11" i="2"/>
  <c r="K12" i="2"/>
  <c r="L12" i="2"/>
  <c r="K13" i="2"/>
  <c r="L13" i="2"/>
  <c r="K14" i="2"/>
  <c r="L14" i="2"/>
  <c r="K15" i="2"/>
  <c r="L15" i="2"/>
  <c r="M15" i="2"/>
  <c r="K16" i="2"/>
  <c r="L16" i="2"/>
  <c r="M16" i="2"/>
  <c r="K17" i="2"/>
  <c r="L17" i="2"/>
  <c r="M17" i="2"/>
  <c r="K18" i="2"/>
  <c r="L18" i="2"/>
  <c r="L2" i="2"/>
  <c r="K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D3" i="2"/>
  <c r="M3" i="2" s="1"/>
  <c r="D4" i="2"/>
  <c r="D5" i="2"/>
  <c r="M5" i="2" s="1"/>
  <c r="D6" i="2"/>
  <c r="M6" i="2" s="1"/>
  <c r="D7" i="2"/>
  <c r="M7" i="2" s="1"/>
  <c r="D8" i="2"/>
  <c r="D9" i="2"/>
  <c r="D10" i="2"/>
  <c r="M10" i="2" s="1"/>
  <c r="D11" i="2"/>
  <c r="D12" i="2"/>
  <c r="M12" i="2" s="1"/>
  <c r="D13" i="2"/>
  <c r="M13" i="2" s="1"/>
  <c r="D14" i="2"/>
  <c r="M14" i="2" s="1"/>
  <c r="D15" i="2"/>
  <c r="D16" i="2"/>
  <c r="D17" i="2"/>
  <c r="D18" i="2"/>
  <c r="M18" i="2" s="1"/>
  <c r="D2" i="2"/>
  <c r="M2" i="2" s="1"/>
  <c r="F2" i="2"/>
  <c r="G2" i="2"/>
  <c r="B3" i="2" s="1"/>
  <c r="B17" i="2" l="1"/>
  <c r="B15" i="2"/>
  <c r="B13" i="2"/>
  <c r="B12" i="2"/>
  <c r="B11" i="2"/>
  <c r="B2" i="2"/>
  <c r="B18" i="2"/>
  <c r="B16" i="2"/>
  <c r="B14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<sst xmlns="http://schemas.openxmlformats.org/spreadsheetml/2006/main" count="13" uniqueCount="13">
  <si>
    <t>r/R</t>
  </si>
  <si>
    <t>β</t>
  </si>
  <si>
    <t>D</t>
  </si>
  <si>
    <t>c (m)</t>
  </si>
  <si>
    <t>r</t>
  </si>
  <si>
    <t>r (m)</t>
  </si>
  <si>
    <t>β- tip based</t>
  </si>
  <si>
    <t>β geom</t>
  </si>
  <si>
    <t>β0 - 75%</t>
  </si>
  <si>
    <t>β0 - tip</t>
  </si>
  <si>
    <t>c</t>
  </si>
  <si>
    <t>taper</t>
  </si>
  <si>
    <t>β- 75%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</si>
</sst>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FA60-43DF-4342-887B-332FC6F471CF}">
  <dimension ref="A1:O18"/>
  <sheetViews>
    <sheetView tabSelected="1" zoomScale="130" zoomScaleNormal="130" workbookViewId="0">
      <selection activeCell="A12" sqref="A12"/>
    </sheetView>
  </sheetViews>
  <sheetFormatPr defaultRowHeight="15" x14ac:dyDescent="0.25"/>
  <cols>
    <col min="3" max="3" width="11.7109375" bestFit="1" customWidth="1"/>
    <col min="4" max="5" width="10.28515625" bestFit="1" customWidth="1"/>
  </cols>
  <sheetData>
    <row r="1" spans="1:15" x14ac:dyDescent="0.25">
      <c r="A1" t="s">
        <v>0</v>
      </c>
      <c r="B1" t="s">
        <v>5</v>
      </c>
      <c r="C1" t="s">
        <v>7</v>
      </c>
      <c r="D1" t="s">
        <v>12</v>
      </c>
      <c r="E1" t="s">
        <v>6</v>
      </c>
      <c r="F1" t="s">
        <v>3</v>
      </c>
      <c r="G1" t="s">
        <v>2</v>
      </c>
      <c r="K1" t="s">
        <v>4</v>
      </c>
      <c r="L1" t="s">
        <v>10</v>
      </c>
      <c r="M1" t="s">
        <v>1</v>
      </c>
      <c r="O1" t="s">
        <v>11</v>
      </c>
    </row>
    <row r="2" spans="1:15" x14ac:dyDescent="0.25">
      <c r="A2">
        <v>0.2</v>
      </c>
      <c r="B2">
        <f t="shared" ref="B2:B18" si="0">A2*$G$2/2</f>
        <v>0.21335999999999999</v>
      </c>
      <c r="C2">
        <v>53.6</v>
      </c>
      <c r="D2">
        <f>$G$4+(C2-$C$13)</f>
        <v>62.6</v>
      </c>
      <c r="E2">
        <f>$H$4+(C2-$C$18)</f>
        <v>62.6</v>
      </c>
      <c r="F2">
        <f>0.351</f>
        <v>0.35099999999999998</v>
      </c>
      <c r="G2">
        <f>7*0.3048</f>
        <v>2.1335999999999999</v>
      </c>
      <c r="K2">
        <f>B2</f>
        <v>0.21335999999999999</v>
      </c>
      <c r="L2">
        <f>F2</f>
        <v>0.35099999999999998</v>
      </c>
      <c r="M2">
        <f>D2</f>
        <v>62.6</v>
      </c>
      <c r="O2">
        <f>L2/L2</f>
        <v>1</v>
      </c>
    </row>
    <row r="3" spans="1:15" x14ac:dyDescent="0.25">
      <c r="A3">
        <v>0.25</v>
      </c>
      <c r="B3">
        <f t="shared" si="0"/>
        <v>0.26669999999999999</v>
      </c>
      <c r="C3">
        <v>50</v>
      </c>
      <c r="D3">
        <f t="shared" ref="D3:D18" si="1">$G$4+(C3-$C$13)</f>
        <v>59</v>
      </c>
      <c r="E3">
        <f t="shared" ref="E3:E18" si="2">$H$4+(C3-$C$18)</f>
        <v>59</v>
      </c>
      <c r="F3">
        <v>0.33019999999999999</v>
      </c>
      <c r="G3" t="s">
        <v>8</v>
      </c>
      <c r="H3" t="s">
        <v>9</v>
      </c>
      <c r="K3">
        <f t="shared" ref="K3:K18" si="3">B3</f>
        <v>0.26669999999999999</v>
      </c>
      <c r="L3">
        <f t="shared" ref="L3:L18" si="4">F3</f>
        <v>0.33019999999999999</v>
      </c>
      <c r="M3">
        <f t="shared" ref="M3:M18" si="5">D3</f>
        <v>59</v>
      </c>
      <c r="O3">
        <f>L3/L2</f>
        <v>0.94074074074074077</v>
      </c>
    </row>
    <row r="4" spans="1:15" x14ac:dyDescent="0.25">
      <c r="A4">
        <v>0.3</v>
      </c>
      <c r="B4">
        <f t="shared" si="0"/>
        <v>0.32003999999999999</v>
      </c>
      <c r="C4">
        <v>46.8</v>
      </c>
      <c r="D4">
        <f t="shared" si="1"/>
        <v>55.8</v>
      </c>
      <c r="E4">
        <f t="shared" si="2"/>
        <v>55.8</v>
      </c>
      <c r="F4">
        <v>0.31519999999999998</v>
      </c>
      <c r="G4" s="1">
        <v>29</v>
      </c>
      <c r="H4" s="1">
        <v>24.5</v>
      </c>
      <c r="K4">
        <f t="shared" si="3"/>
        <v>0.32003999999999999</v>
      </c>
      <c r="L4">
        <f t="shared" si="4"/>
        <v>0.31519999999999998</v>
      </c>
      <c r="M4">
        <f t="shared" si="5"/>
        <v>55.8</v>
      </c>
      <c r="O4">
        <f t="shared" ref="O4:O18" si="6">L4/L3</f>
        <v>0.95457298606904906</v>
      </c>
    </row>
    <row r="5" spans="1:15" x14ac:dyDescent="0.25">
      <c r="A5">
        <v>0.35</v>
      </c>
      <c r="B5">
        <f t="shared" si="0"/>
        <v>0.37337999999999999</v>
      </c>
      <c r="C5">
        <v>43.2</v>
      </c>
      <c r="D5">
        <f t="shared" si="1"/>
        <v>52.2</v>
      </c>
      <c r="E5">
        <f t="shared" si="2"/>
        <v>52.2</v>
      </c>
      <c r="F5">
        <v>0.29559999999999997</v>
      </c>
      <c r="K5">
        <f t="shared" si="3"/>
        <v>0.37337999999999999</v>
      </c>
      <c r="L5">
        <f t="shared" si="4"/>
        <v>0.29559999999999997</v>
      </c>
      <c r="M5">
        <f t="shared" si="5"/>
        <v>52.2</v>
      </c>
      <c r="O5">
        <f t="shared" si="6"/>
        <v>0.93781725888324874</v>
      </c>
    </row>
    <row r="6" spans="1:15" x14ac:dyDescent="0.25">
      <c r="A6">
        <v>0.4</v>
      </c>
      <c r="B6">
        <f t="shared" si="0"/>
        <v>0.42671999999999999</v>
      </c>
      <c r="C6">
        <v>39.5</v>
      </c>
      <c r="D6">
        <f t="shared" si="1"/>
        <v>48.5</v>
      </c>
      <c r="E6">
        <f t="shared" si="2"/>
        <v>48.5</v>
      </c>
      <c r="F6">
        <v>0.27939999999999998</v>
      </c>
      <c r="K6">
        <f t="shared" si="3"/>
        <v>0.42671999999999999</v>
      </c>
      <c r="L6">
        <f t="shared" si="4"/>
        <v>0.27939999999999998</v>
      </c>
      <c r="M6">
        <f t="shared" si="5"/>
        <v>48.5</v>
      </c>
      <c r="O6">
        <f t="shared" si="6"/>
        <v>0.94519621109607577</v>
      </c>
    </row>
    <row r="7" spans="1:15" x14ac:dyDescent="0.25">
      <c r="A7">
        <v>0.45</v>
      </c>
      <c r="B7">
        <f t="shared" si="0"/>
        <v>0.48005999999999999</v>
      </c>
      <c r="C7">
        <v>35.9</v>
      </c>
      <c r="D7">
        <f t="shared" si="1"/>
        <v>44.9</v>
      </c>
      <c r="E7">
        <f t="shared" si="2"/>
        <v>44.9</v>
      </c>
      <c r="F7">
        <v>0.26440000000000002</v>
      </c>
      <c r="K7">
        <f t="shared" si="3"/>
        <v>0.48005999999999999</v>
      </c>
      <c r="L7">
        <f t="shared" si="4"/>
        <v>0.26440000000000002</v>
      </c>
      <c r="M7">
        <f t="shared" si="5"/>
        <v>44.9</v>
      </c>
      <c r="O7">
        <f t="shared" si="6"/>
        <v>0.94631352899069454</v>
      </c>
    </row>
    <row r="8" spans="1:15" x14ac:dyDescent="0.25">
      <c r="A8">
        <v>0.5</v>
      </c>
      <c r="B8">
        <f t="shared" si="0"/>
        <v>0.53339999999999999</v>
      </c>
      <c r="C8">
        <v>32.299999999999997</v>
      </c>
      <c r="D8">
        <f t="shared" si="1"/>
        <v>41.3</v>
      </c>
      <c r="E8">
        <f t="shared" si="2"/>
        <v>41.3</v>
      </c>
      <c r="F8">
        <v>0.25280000000000002</v>
      </c>
      <c r="K8">
        <f t="shared" si="3"/>
        <v>0.53339999999999999</v>
      </c>
      <c r="L8">
        <f t="shared" si="4"/>
        <v>0.25280000000000002</v>
      </c>
      <c r="M8">
        <f t="shared" si="5"/>
        <v>41.3</v>
      </c>
      <c r="O8">
        <f t="shared" si="6"/>
        <v>0.95612708018154313</v>
      </c>
    </row>
    <row r="9" spans="1:15" x14ac:dyDescent="0.25">
      <c r="A9">
        <v>0.55000000000000004</v>
      </c>
      <c r="B9">
        <f t="shared" si="0"/>
        <v>0.58674000000000004</v>
      </c>
      <c r="C9">
        <v>29.1</v>
      </c>
      <c r="D9">
        <f t="shared" si="1"/>
        <v>38.1</v>
      </c>
      <c r="E9">
        <f t="shared" si="2"/>
        <v>38.1</v>
      </c>
      <c r="F9">
        <v>0.24479999999999999</v>
      </c>
      <c r="K9">
        <f t="shared" si="3"/>
        <v>0.58674000000000004</v>
      </c>
      <c r="L9">
        <f t="shared" si="4"/>
        <v>0.24479999999999999</v>
      </c>
      <c r="M9">
        <f t="shared" si="5"/>
        <v>38.1</v>
      </c>
      <c r="O9">
        <f t="shared" si="6"/>
        <v>0.96835443037974667</v>
      </c>
    </row>
    <row r="10" spans="1:15" x14ac:dyDescent="0.25">
      <c r="A10">
        <v>0.6</v>
      </c>
      <c r="B10">
        <f t="shared" si="0"/>
        <v>0.64007999999999998</v>
      </c>
      <c r="C10">
        <v>26.4</v>
      </c>
      <c r="D10">
        <f t="shared" si="1"/>
        <v>35.4</v>
      </c>
      <c r="E10">
        <f t="shared" si="2"/>
        <v>35.4</v>
      </c>
      <c r="F10">
        <v>0.24129999999999999</v>
      </c>
      <c r="K10">
        <f t="shared" si="3"/>
        <v>0.64007999999999998</v>
      </c>
      <c r="L10">
        <f t="shared" si="4"/>
        <v>0.24129999999999999</v>
      </c>
      <c r="M10">
        <f t="shared" si="5"/>
        <v>35.4</v>
      </c>
      <c r="O10">
        <f t="shared" si="6"/>
        <v>0.98570261437908491</v>
      </c>
    </row>
    <row r="11" spans="1:15" x14ac:dyDescent="0.25">
      <c r="A11">
        <v>0.65</v>
      </c>
      <c r="B11">
        <f t="shared" si="0"/>
        <v>0.69342000000000004</v>
      </c>
      <c r="C11">
        <v>24.1</v>
      </c>
      <c r="D11">
        <f t="shared" si="1"/>
        <v>33.1</v>
      </c>
      <c r="E11">
        <f t="shared" si="2"/>
        <v>33.1</v>
      </c>
      <c r="F11">
        <v>0.23899999999999999</v>
      </c>
      <c r="K11">
        <f t="shared" si="3"/>
        <v>0.69342000000000004</v>
      </c>
      <c r="L11">
        <f t="shared" si="4"/>
        <v>0.23899999999999999</v>
      </c>
      <c r="M11">
        <f t="shared" si="5"/>
        <v>33.1</v>
      </c>
      <c r="O11">
        <f t="shared" si="6"/>
        <v>0.99046829672606718</v>
      </c>
    </row>
    <row r="12" spans="1:15" x14ac:dyDescent="0.25">
      <c r="A12">
        <v>0.7</v>
      </c>
      <c r="B12">
        <f t="shared" si="0"/>
        <v>0.74675999999999998</v>
      </c>
      <c r="C12">
        <v>21.8</v>
      </c>
      <c r="D12">
        <f t="shared" si="1"/>
        <v>30.8</v>
      </c>
      <c r="E12">
        <f t="shared" si="2"/>
        <v>30.8</v>
      </c>
      <c r="F12">
        <v>0.23669999999999999</v>
      </c>
      <c r="K12">
        <f t="shared" si="3"/>
        <v>0.74675999999999998</v>
      </c>
      <c r="L12">
        <f t="shared" si="4"/>
        <v>0.23669999999999999</v>
      </c>
      <c r="M12">
        <f t="shared" si="5"/>
        <v>30.8</v>
      </c>
      <c r="O12">
        <f t="shared" si="6"/>
        <v>0.99037656903765692</v>
      </c>
    </row>
    <row r="13" spans="1:15" x14ac:dyDescent="0.25">
      <c r="A13">
        <v>0.75</v>
      </c>
      <c r="B13">
        <f t="shared" si="0"/>
        <v>0.80010000000000003</v>
      </c>
      <c r="C13">
        <v>20</v>
      </c>
      <c r="D13">
        <f t="shared" si="1"/>
        <v>29</v>
      </c>
      <c r="E13">
        <f t="shared" si="2"/>
        <v>29</v>
      </c>
      <c r="F13">
        <v>0.23319999999999999</v>
      </c>
      <c r="K13">
        <f t="shared" si="3"/>
        <v>0.80010000000000003</v>
      </c>
      <c r="L13">
        <f t="shared" si="4"/>
        <v>0.23319999999999999</v>
      </c>
      <c r="M13">
        <f t="shared" si="5"/>
        <v>29</v>
      </c>
      <c r="O13">
        <f t="shared" si="6"/>
        <v>0.98521335023236167</v>
      </c>
    </row>
    <row r="14" spans="1:15" x14ac:dyDescent="0.25">
      <c r="A14">
        <v>0.8</v>
      </c>
      <c r="B14">
        <f t="shared" si="0"/>
        <v>0.85343999999999998</v>
      </c>
      <c r="C14">
        <v>19.100000000000001</v>
      </c>
      <c r="D14">
        <f t="shared" si="1"/>
        <v>28.1</v>
      </c>
      <c r="E14">
        <f t="shared" si="2"/>
        <v>28.1</v>
      </c>
      <c r="F14">
        <v>0.23089999999999999</v>
      </c>
      <c r="K14">
        <f t="shared" si="3"/>
        <v>0.85343999999999998</v>
      </c>
      <c r="L14">
        <f t="shared" si="4"/>
        <v>0.23089999999999999</v>
      </c>
      <c r="M14">
        <f t="shared" si="5"/>
        <v>28.1</v>
      </c>
      <c r="O14">
        <f t="shared" si="6"/>
        <v>0.99013722126929671</v>
      </c>
    </row>
    <row r="15" spans="1:15" x14ac:dyDescent="0.25">
      <c r="A15">
        <v>0.85</v>
      </c>
      <c r="B15">
        <f t="shared" si="0"/>
        <v>0.90677999999999992</v>
      </c>
      <c r="C15">
        <v>17.7</v>
      </c>
      <c r="D15">
        <f t="shared" si="1"/>
        <v>26.7</v>
      </c>
      <c r="E15">
        <f t="shared" si="2"/>
        <v>26.7</v>
      </c>
      <c r="F15">
        <v>0.2286</v>
      </c>
      <c r="K15">
        <f t="shared" si="3"/>
        <v>0.90677999999999992</v>
      </c>
      <c r="L15">
        <f t="shared" si="4"/>
        <v>0.2286</v>
      </c>
      <c r="M15">
        <f t="shared" si="5"/>
        <v>26.7</v>
      </c>
      <c r="O15">
        <f t="shared" si="6"/>
        <v>0.99003897791251627</v>
      </c>
    </row>
    <row r="16" spans="1:15" x14ac:dyDescent="0.25">
      <c r="A16">
        <v>0.9</v>
      </c>
      <c r="B16">
        <f t="shared" si="0"/>
        <v>0.96011999999999997</v>
      </c>
      <c r="C16">
        <v>16.8</v>
      </c>
      <c r="D16">
        <f t="shared" si="1"/>
        <v>25.8</v>
      </c>
      <c r="E16">
        <f t="shared" si="2"/>
        <v>25.8</v>
      </c>
      <c r="F16">
        <v>0.22509999999999999</v>
      </c>
      <c r="K16">
        <f t="shared" si="3"/>
        <v>0.96011999999999997</v>
      </c>
      <c r="L16">
        <f t="shared" si="4"/>
        <v>0.22509999999999999</v>
      </c>
      <c r="M16">
        <f t="shared" si="5"/>
        <v>25.8</v>
      </c>
      <c r="O16">
        <f t="shared" si="6"/>
        <v>0.98468941382327213</v>
      </c>
    </row>
    <row r="17" spans="1:15" x14ac:dyDescent="0.25">
      <c r="A17">
        <v>0.95</v>
      </c>
      <c r="B17">
        <f t="shared" si="0"/>
        <v>1.01346</v>
      </c>
      <c r="C17">
        <v>15.9</v>
      </c>
      <c r="D17">
        <f t="shared" si="1"/>
        <v>24.9</v>
      </c>
      <c r="E17">
        <f t="shared" si="2"/>
        <v>24.9</v>
      </c>
      <c r="F17">
        <v>0.22170000000000001</v>
      </c>
      <c r="K17">
        <f t="shared" si="3"/>
        <v>1.01346</v>
      </c>
      <c r="L17">
        <f t="shared" si="4"/>
        <v>0.22170000000000001</v>
      </c>
      <c r="M17">
        <f t="shared" si="5"/>
        <v>24.9</v>
      </c>
      <c r="O17">
        <f t="shared" si="6"/>
        <v>0.98489560195468684</v>
      </c>
    </row>
    <row r="18" spans="1:15" x14ac:dyDescent="0.25">
      <c r="A18">
        <v>1</v>
      </c>
      <c r="B18">
        <f t="shared" si="0"/>
        <v>1.0668</v>
      </c>
      <c r="C18">
        <v>15.5</v>
      </c>
      <c r="D18">
        <f t="shared" si="1"/>
        <v>24.5</v>
      </c>
      <c r="E18">
        <f t="shared" si="2"/>
        <v>24.5</v>
      </c>
      <c r="F18">
        <v>0.2205</v>
      </c>
      <c r="K18">
        <f t="shared" si="3"/>
        <v>1.0668</v>
      </c>
      <c r="L18">
        <f t="shared" si="4"/>
        <v>0.2205</v>
      </c>
      <c r="M18">
        <f t="shared" si="5"/>
        <v>24.5</v>
      </c>
      <c r="O18">
        <f t="shared" si="6"/>
        <v>0.99458728010825437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Meijerink</dc:creator>
  <cp:lastModifiedBy>Thomas Vermeulen</cp:lastModifiedBy>
  <dcterms:created xsi:type="dcterms:W3CDTF">2025-01-28T13:30:25Z</dcterms:created>
  <dcterms:modified xsi:type="dcterms:W3CDTF">2026-05-19T09:13:35Z</dcterms:modified>
</cp:coreProperties>
</file>