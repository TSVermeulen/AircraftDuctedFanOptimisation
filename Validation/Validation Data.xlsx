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thomasvermeule_tudelft_nl/Documents/Documents/UDC and Optimisation Framework/ASME Paper/JEGTP Publication/Data Availability/Validation/"/>
    </mc:Choice>
  </mc:AlternateContent>
  <xr:revisionPtr revIDLastSave="1753" documentId="8_{E7BF6703-466F-4498-AEEA-FFB8403C4F5E}" xr6:coauthVersionLast="47" xr6:coauthVersionMax="47" xr10:uidLastSave="{ACFEC24A-FE0A-4C48-9597-D3E25F45F823}"/>
  <bookViews>
    <workbookView xWindow="-120" yWindow="-120" windowWidth="29040" windowHeight="15720" activeTab="2" xr2:uid="{6111FCF9-37F3-4199-9E4E-EEB7F0803D9A}"/>
  </bookViews>
  <sheets>
    <sheet name="Wind Tunnel Beta=24.5deg data" sheetId="16" r:id="rId1"/>
    <sheet name="Wind Tunnel Beta=14.5deg data" sheetId="17" r:id="rId2"/>
    <sheet name="UDC results" sheetId="1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8" l="1"/>
  <c r="L3" i="18"/>
  <c r="M3" i="18"/>
  <c r="O3" i="18" s="1"/>
  <c r="N14" i="18"/>
  <c r="P14" i="18" s="1"/>
  <c r="N15" i="18"/>
  <c r="P15" i="18" s="1"/>
  <c r="N16" i="18"/>
  <c r="P16" i="18" s="1"/>
  <c r="N17" i="18"/>
  <c r="P17" i="18" s="1"/>
  <c r="N18" i="18"/>
  <c r="P18" i="18" s="1"/>
  <c r="N19" i="18"/>
  <c r="P19" i="18" s="1"/>
  <c r="N13" i="18"/>
  <c r="P13" i="18" s="1"/>
  <c r="M14" i="18"/>
  <c r="O14" i="18" s="1"/>
  <c r="M15" i="18"/>
  <c r="O15" i="18" s="1"/>
  <c r="M16" i="18"/>
  <c r="O16" i="18" s="1"/>
  <c r="M17" i="18"/>
  <c r="O17" i="18" s="1"/>
  <c r="M18" i="18"/>
  <c r="O18" i="18" s="1"/>
  <c r="M19" i="18"/>
  <c r="O19" i="18" s="1"/>
  <c r="M13" i="18"/>
  <c r="O13" i="18" s="1"/>
  <c r="N4" i="18"/>
  <c r="P4" i="18" s="1"/>
  <c r="N5" i="18"/>
  <c r="P5" i="18" s="1"/>
  <c r="N6" i="18"/>
  <c r="P6" i="18" s="1"/>
  <c r="N7" i="18"/>
  <c r="P7" i="18" s="1"/>
  <c r="N8" i="18"/>
  <c r="P8" i="18" s="1"/>
  <c r="N9" i="18"/>
  <c r="P9" i="18" s="1"/>
  <c r="N3" i="18"/>
  <c r="P3" i="18" s="1"/>
  <c r="M4" i="18"/>
  <c r="O4" i="18" s="1"/>
  <c r="M5" i="18"/>
  <c r="O5" i="18" s="1"/>
  <c r="M6" i="18"/>
  <c r="O6" i="18" s="1"/>
  <c r="M7" i="18"/>
  <c r="O7" i="18" s="1"/>
  <c r="M8" i="18"/>
  <c r="O8" i="18" s="1"/>
  <c r="M9" i="18"/>
  <c r="O9" i="18" s="1"/>
  <c r="L4" i="18" l="1"/>
  <c r="L13" i="18"/>
  <c r="L14" i="18"/>
  <c r="L5" i="18"/>
  <c r="L15" i="18"/>
  <c r="L19" i="18"/>
  <c r="L18" i="18"/>
  <c r="L17" i="18"/>
  <c r="L16" i="18"/>
  <c r="L9" i="18"/>
  <c r="L8" i="18"/>
  <c r="L7" i="18"/>
  <c r="L6" i="18"/>
  <c r="Q1" i="18"/>
  <c r="H9" i="18" s="1"/>
  <c r="F9" i="18" s="1"/>
  <c r="D6" i="16"/>
  <c r="D7" i="16"/>
  <c r="D8" i="16"/>
  <c r="D9" i="16"/>
  <c r="D10" i="16"/>
  <c r="D11" i="16"/>
  <c r="D12" i="16"/>
  <c r="J8" i="17"/>
  <c r="D6" i="17"/>
  <c r="D7" i="17"/>
  <c r="D8" i="17"/>
  <c r="D9" i="17"/>
  <c r="D10" i="17"/>
  <c r="D11" i="17"/>
  <c r="D12" i="17"/>
  <c r="H12" i="17"/>
  <c r="G12" i="17"/>
  <c r="I12" i="17" s="1"/>
  <c r="H11" i="17"/>
  <c r="G11" i="17"/>
  <c r="I11" i="17" s="1"/>
  <c r="H10" i="17"/>
  <c r="G10" i="17"/>
  <c r="I10" i="17" s="1"/>
  <c r="H9" i="17"/>
  <c r="G9" i="17"/>
  <c r="I9" i="17" s="1"/>
  <c r="H8" i="17"/>
  <c r="G8" i="17"/>
  <c r="I8" i="17" s="1"/>
  <c r="H7" i="17"/>
  <c r="G7" i="17"/>
  <c r="I7" i="17" s="1"/>
  <c r="H6" i="17"/>
  <c r="G6" i="17"/>
  <c r="I6" i="17" s="1"/>
  <c r="G6" i="16"/>
  <c r="I6" i="16" s="1"/>
  <c r="G7" i="16"/>
  <c r="I7" i="16" s="1"/>
  <c r="G8" i="16"/>
  <c r="I8" i="16" s="1"/>
  <c r="G9" i="16"/>
  <c r="I9" i="16" s="1"/>
  <c r="G10" i="16"/>
  <c r="I10" i="16" s="1"/>
  <c r="G11" i="16"/>
  <c r="I11" i="16" s="1"/>
  <c r="G12" i="16"/>
  <c r="I12" i="16" s="1"/>
  <c r="H6" i="16"/>
  <c r="H7" i="16"/>
  <c r="H8" i="16"/>
  <c r="H9" i="16"/>
  <c r="H10" i="16"/>
  <c r="H11" i="16"/>
  <c r="H12" i="16"/>
  <c r="H4" i="18" l="1"/>
  <c r="F4" i="18" s="1"/>
  <c r="H3" i="18"/>
  <c r="H13" i="18"/>
  <c r="F13" i="18" s="1"/>
  <c r="H14" i="18"/>
  <c r="F14" i="18" s="1"/>
  <c r="H5" i="18"/>
  <c r="F5" i="18" s="1"/>
  <c r="H15" i="18"/>
  <c r="F15" i="18" s="1"/>
  <c r="H8" i="18"/>
  <c r="F8" i="18" s="1"/>
  <c r="H16" i="18"/>
  <c r="F16" i="18" s="1"/>
  <c r="H6" i="18"/>
  <c r="F6" i="18" s="1"/>
  <c r="H17" i="18"/>
  <c r="F17" i="18" s="1"/>
  <c r="H7" i="18"/>
  <c r="F7" i="18" s="1"/>
  <c r="H18" i="18"/>
  <c r="F18" i="18" s="1"/>
  <c r="H19" i="18"/>
  <c r="F19" i="18" s="1"/>
  <c r="J9" i="17"/>
  <c r="J7" i="17"/>
  <c r="J6" i="17"/>
  <c r="J10" i="17"/>
  <c r="J11" i="17"/>
  <c r="J12" i="17"/>
  <c r="J7" i="16"/>
  <c r="J10" i="16"/>
  <c r="J12" i="16"/>
  <c r="J11" i="16"/>
  <c r="J9" i="16"/>
  <c r="J8" i="16"/>
  <c r="J6" i="16"/>
</calcChain>
</file>

<file path=xl/sharedStrings.xml><?xml version="1.0" encoding="utf-8"?>
<sst xmlns="http://schemas.openxmlformats.org/spreadsheetml/2006/main" count="79" uniqueCount="42">
  <si>
    <t>CT</t>
  </si>
  <si>
    <t>J</t>
  </si>
  <si>
    <t>MTFLOW</t>
  </si>
  <si>
    <t>OMEGA</t>
  </si>
  <si>
    <t>V</t>
  </si>
  <si>
    <t>Fan Diameter</t>
  </si>
  <si>
    <t>meters</t>
  </si>
  <si>
    <t>CP</t>
  </si>
  <si>
    <t>EtaP</t>
  </si>
  <si>
    <t>RPS</t>
  </si>
  <si>
    <t>19670025554.pdf</t>
  </si>
  <si>
    <t>Taken from figure 5 of:</t>
  </si>
  <si>
    <t>C_T</t>
  </si>
  <si>
    <t>C_P</t>
  </si>
  <si>
    <t>Eta</t>
  </si>
  <si>
    <t>Data as per source:</t>
  </si>
  <si>
    <t>Converted to momentum-based coefficients:</t>
  </si>
  <si>
    <t>Legend</t>
  </si>
  <si>
    <t>Fully converged viscous analysis</t>
  </si>
  <si>
    <t>Partially converged viscous analysis - see cell-comment for details</t>
  </si>
  <si>
    <t>Inviscid analysis only</t>
  </si>
  <si>
    <t>TC</t>
  </si>
  <si>
    <t>PC</t>
  </si>
  <si>
    <t>CT_error</t>
  </si>
  <si>
    <t>CP_error</t>
  </si>
  <si>
    <t>No analysis outputs obtained</t>
  </si>
  <si>
    <t>beta0=24.5 degrees at the blade tip</t>
  </si>
  <si>
    <t>beta0=14.5 degrees at the blade tip</t>
  </si>
  <si>
    <t>This sheet contains data for beta_0=24.5 degrees</t>
  </si>
  <si>
    <t>Disclaimer:</t>
  </si>
  <si>
    <t xml:space="preserve">The developed UDC uses the tip station as reference, while the wind tunnel test data uses the 75% span station as reference. </t>
  </si>
  <si>
    <t>Similarly, the set angle of 19 degrees corresponds to a tip angle of 14.5 degrees</t>
  </si>
  <si>
    <t>In the experimental data, the set angle of 29 degrees corresponds to a tip angle of 24.5 degrees</t>
  </si>
  <si>
    <t>This sheet contains data for beta_0=14.5 degrees</t>
  </si>
  <si>
    <t>T_C</t>
  </si>
  <si>
    <t>P_C</t>
  </si>
  <si>
    <t>To convert C_T to T_C, the following conversion is used:</t>
  </si>
  <si>
    <t>T_C=C_T*2/J^2</t>
  </si>
  <si>
    <t>To convert C_P to P_C, the following conversion is used:</t>
  </si>
  <si>
    <t>P_C = C_P*2/J^3</t>
  </si>
  <si>
    <t xml:space="preserve">The UDC internally uses the momentum-based force and power coefficients T_C and P_C. </t>
  </si>
  <si>
    <t>For the purposes of validation, these are converted to C_T and C_P using the below equations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</si>
</sst>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4" fillId="0" borderId="0" xfId="0" applyFont="1"/>
  </cellXfs>
  <cellStyles count="2">
    <cellStyle name="Hyperlink" xfId="1" builtinId="8"/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'Wind Tunnel Beta=24.5deg data'!$B$5</c:f>
              <c:strCache>
                <c:ptCount val="1"/>
                <c:pt idx="0">
                  <c:v>C_T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'Wind Tunnel Beta=24.5deg data'!$A$6:$A$12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Beta=24.5deg data'!$B$6:$B$12</c:f>
              <c:numCache>
                <c:formatCode>General</c:formatCode>
                <c:ptCount val="7"/>
                <c:pt idx="0">
                  <c:v>0.37369999999999998</c:v>
                </c:pt>
                <c:pt idx="1">
                  <c:v>0.35</c:v>
                </c:pt>
                <c:pt idx="2">
                  <c:v>0.32</c:v>
                </c:pt>
                <c:pt idx="3">
                  <c:v>0.29599999999999999</c:v>
                </c:pt>
                <c:pt idx="4">
                  <c:v>0.27</c:v>
                </c:pt>
                <c:pt idx="5">
                  <c:v>0.246</c:v>
                </c:pt>
                <c:pt idx="6">
                  <c:v>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13-41A5-9AF2-82A3E8107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6607"/>
        <c:axId val="31149487"/>
      </c:scatterChart>
      <c:valAx>
        <c:axId val="31146607"/>
        <c:scaling>
          <c:orientation val="minMax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Advance Ratio 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1149487"/>
        <c:crosses val="autoZero"/>
        <c:crossBetween val="midCat"/>
      </c:valAx>
      <c:valAx>
        <c:axId val="311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Thrust Coefficient C_T=T/(rho*n^2*d^4)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1146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C_P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'Wind Tunnel Beta=24.5deg data'!$I$5</c:f>
              <c:strCache>
                <c:ptCount val="1"/>
                <c:pt idx="0">
                  <c:v>P_C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'Wind Tunnel Beta=24.5deg data'!$A$6:$A$12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Beta=24.5deg data'!$C$6:$C$12</c:f>
              <c:numCache>
                <c:formatCode>General</c:formatCode>
                <c:ptCount val="7"/>
                <c:pt idx="0">
                  <c:v>0.2412</c:v>
                </c:pt>
                <c:pt idx="1">
                  <c:v>0.23649999999999999</c:v>
                </c:pt>
                <c:pt idx="2">
                  <c:v>0.2291</c:v>
                </c:pt>
                <c:pt idx="3">
                  <c:v>0.22170000000000001</c:v>
                </c:pt>
                <c:pt idx="4">
                  <c:v>0.21440000000000001</c:v>
                </c:pt>
                <c:pt idx="5">
                  <c:v>0.20399999999999999</c:v>
                </c:pt>
                <c:pt idx="6">
                  <c:v>0.1925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B5-4708-B891-DB31E827A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6607"/>
        <c:axId val="31149487"/>
      </c:scatterChart>
      <c:valAx>
        <c:axId val="31146607"/>
        <c:scaling>
          <c:orientation val="minMax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Advance Ratio 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1149487"/>
        <c:crosses val="autoZero"/>
        <c:crossBetween val="midCat"/>
      </c:valAx>
      <c:valAx>
        <c:axId val="311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Power Coefficient C_P=P/(rho*n^3*d^5)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1146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'Wind Tunnel Beta=14.5deg data'!$B$5</c:f>
              <c:strCache>
                <c:ptCount val="1"/>
                <c:pt idx="0">
                  <c:v>C_T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'Wind Tunnel Beta=14.5deg data'!$A$6:$A$12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Beta=14.5deg data'!$B$6:$B$12</c:f>
              <c:numCache>
                <c:formatCode>General</c:formatCode>
                <c:ptCount val="7"/>
                <c:pt idx="0">
                  <c:v>0.16950000000000001</c:v>
                </c:pt>
                <c:pt idx="1">
                  <c:v>0.14949999999999999</c:v>
                </c:pt>
                <c:pt idx="2">
                  <c:v>0.13070000000000001</c:v>
                </c:pt>
                <c:pt idx="3">
                  <c:v>0.1119</c:v>
                </c:pt>
                <c:pt idx="4">
                  <c:v>8.9349999999999999E-2</c:v>
                </c:pt>
                <c:pt idx="5">
                  <c:v>7.1819999999999995E-2</c:v>
                </c:pt>
                <c:pt idx="6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4A-4E42-B8C0-CCD294241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6607"/>
        <c:axId val="31149487"/>
      </c:scatterChart>
      <c:valAx>
        <c:axId val="31146607"/>
        <c:scaling>
          <c:orientation val="minMax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Advance</a:t>
                </a:r>
                <a:r>
                  <a:rPr lang="en-US" baseline="0"/>
                  <a:t> Ratio J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1149487"/>
        <c:crosses val="autoZero"/>
        <c:crossBetween val="midCat"/>
      </c:valAx>
      <c:valAx>
        <c:axId val="311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 Coefficient C_T=T/(rho*n^2*d^4)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1146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C_P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'Wind Tunnel Beta=14.5deg data'!$A$6:$A$12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cat>
          <c:val>
            <c:numRef>
              <c:f>'Wind Tunnel Beta=14.5deg data'!$C$6:$C$12</c:f>
              <c:numCache>
                <c:formatCode>General</c:formatCode>
                <c:ptCount val="7"/>
                <c:pt idx="0">
                  <c:v>9.3840000000000007E-2</c:v>
                </c:pt>
                <c:pt idx="1">
                  <c:v>9.0200000000000002E-2</c:v>
                </c:pt>
                <c:pt idx="2">
                  <c:v>8.5440000000000002E-2</c:v>
                </c:pt>
                <c:pt idx="3">
                  <c:v>7.9189999999999997E-2</c:v>
                </c:pt>
                <c:pt idx="4">
                  <c:v>7.1819999999999995E-2</c:v>
                </c:pt>
                <c:pt idx="5">
                  <c:v>6.447E-2</c:v>
                </c:pt>
                <c:pt idx="6">
                  <c:v>5.8200000000000002E-2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B-44DF-ACC0-E6A826963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6588672"/>
        <c:axId val="1396589152"/>
      </c:lineChart>
      <c:catAx>
        <c:axId val="139658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Advance Ratio 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589152"/>
        <c:crosses val="autoZero"/>
        <c:auto val="1"/>
        <c:lblAlgn val="ctr"/>
        <c:lblOffset val="100"/>
        <c:noMultiLvlLbl val="0"/>
      </c:catAx>
      <c:valAx>
        <c:axId val="139658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Coefficient C_P=P/(rho*n^3*d^5)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58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for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β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_0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=24.5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rotesque" panose="020B0504020202020204" pitchFamily="34" charset="0"/>
              </a:rPr>
              <a:t>˚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UDC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'UDC results'!$I$3:$I$9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'UDC results'!$M$3:$M$9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0.32695200000000008</c:v>
                </c:pt>
                <c:pt idx="3">
                  <c:v>0.26620650000000001</c:v>
                </c:pt>
                <c:pt idx="4">
                  <c:v>0.27700000000000002</c:v>
                </c:pt>
                <c:pt idx="5">
                  <c:v>0.25444787500000005</c:v>
                </c:pt>
                <c:pt idx="6">
                  <c:v>0.23257800000000001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43-416B-8E11-016205601B5A}"/>
            </c:ext>
          </c:extLst>
        </c:ser>
        <c:ser>
          <c:idx val="1"/>
          <c:order val="1"/>
          <c:tx>
            <c:v>Wind Tunnel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'Wind Tunnel Beta=24.5deg data'!$K$6:$K$12</c:f>
                <c:numCache>
                  <c:formatCode>General</c:formatCode>
                  <c:ptCount val="7"/>
                </c:numCache>
              </c:numRef>
            </c:plus>
            <c:minus>
              <c:numRef>
                <c:f>'Wind Tunnel Beta=24.5deg data'!$K$6:$K$12</c:f>
                <c:numCache>
                  <c:formatCode>General</c:formatCode>
                  <c:ptCount val="7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'Wind Tunnel Beta=24.5deg data'!$G$6:$G$12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Beta=24.5deg data'!$B$6:$B$12</c:f>
              <c:numCache>
                <c:formatCode>General</c:formatCode>
                <c:ptCount val="7"/>
                <c:pt idx="0">
                  <c:v>0.37369999999999998</c:v>
                </c:pt>
                <c:pt idx="1">
                  <c:v>0.35</c:v>
                </c:pt>
                <c:pt idx="2">
                  <c:v>0.32</c:v>
                </c:pt>
                <c:pt idx="3">
                  <c:v>0.29599999999999999</c:v>
                </c:pt>
                <c:pt idx="4">
                  <c:v>0.27</c:v>
                </c:pt>
                <c:pt idx="5">
                  <c:v>0.246</c:v>
                </c:pt>
                <c:pt idx="6">
                  <c:v>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43-416B-8E11-016205601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558143"/>
        <c:axId val="923554783"/>
      </c:scatterChart>
      <c:valAx>
        <c:axId val="92355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Advance Ratio J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4783"/>
        <c:crosses val="autoZero"/>
        <c:crossBetween val="midCat"/>
      </c:valAx>
      <c:valAx>
        <c:axId val="92355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Thrust Coefficeint CT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Comparison for </a:t>
            </a:r>
            <a:r>
              <a:rPr lang="el-GR"/>
              <a:t>β</a:t>
            </a:r>
            <a:r>
              <a:rPr lang="en-US"/>
              <a:t>_0</a:t>
            </a:r>
            <a:r>
              <a:rPr lang="en-GB"/>
              <a:t>=14.5</a:t>
            </a:r>
            <a:r>
              <a:rPr lang="en-GB">
                <a:latin typeface="Grotesque" panose="020B0504020202020204" pitchFamily="34" charset="0"/>
              </a:rPr>
              <a:t>˚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UDC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'UDC results'!$I$13:$I$19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'UDC results'!$M$13:$M$19</c:f>
              <c:numCache>
                <c:formatCode>General</c:formatCode>
                <c:ptCount val="7"/>
                <c:pt idx="0">
                  <c:v>0.17098649999999999</c:v>
                </c:pt>
                <c:pt idx="1">
                  <c:v>0.15189387499999998</c:v>
                </c:pt>
                <c:pt idx="2">
                  <c:v>0.13146400000000003</c:v>
                </c:pt>
                <c:pt idx="3">
                  <c:v>0.108003375</c:v>
                </c:pt>
                <c:pt idx="4">
                  <c:v>8.6804999999999993E-2</c:v>
                </c:pt>
                <c:pt idx="5">
                  <c:v>6.8216775000000007E-2</c:v>
                </c:pt>
                <c:pt idx="6">
                  <c:v>4.60782E-2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C1-4712-AC35-B16C4075B54F}"/>
            </c:ext>
          </c:extLst>
        </c:ser>
        <c:ser>
          <c:idx val="0"/>
          <c:order val="1"/>
          <c:tx>
            <c:v>Wind Tunnel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'Wind Tunnel Beta=14.5deg data'!$G$6:$G$12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Beta=14.5deg data'!$B$6:$B$12</c:f>
              <c:numCache>
                <c:formatCode>General</c:formatCode>
                <c:ptCount val="7"/>
                <c:pt idx="0">
                  <c:v>0.16950000000000001</c:v>
                </c:pt>
                <c:pt idx="1">
                  <c:v>0.14949999999999999</c:v>
                </c:pt>
                <c:pt idx="2">
                  <c:v>0.13070000000000001</c:v>
                </c:pt>
                <c:pt idx="3">
                  <c:v>0.1119</c:v>
                </c:pt>
                <c:pt idx="4">
                  <c:v>8.9349999999999999E-2</c:v>
                </c:pt>
                <c:pt idx="5">
                  <c:v>7.1819999999999995E-2</c:v>
                </c:pt>
                <c:pt idx="6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C1-4712-AC35-B16C4075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254607"/>
        <c:axId val="1167252687"/>
      </c:scatterChart>
      <c:valAx>
        <c:axId val="116725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Advance</a:t>
                </a:r>
                <a:r>
                  <a:rPr lang="en-GB" baseline="0"/>
                  <a:t> Ratio J [-]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67252687"/>
        <c:crosses val="autoZero"/>
        <c:crossBetween val="midCat"/>
      </c:valAx>
      <c:valAx>
        <c:axId val="116725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Thrust</a:t>
                </a:r>
                <a:r>
                  <a:rPr lang="en-GB" baseline="0"/>
                  <a:t> Coefficient CT [-]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67254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for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β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_0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=24.5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rotesque" panose="020B0504020202020204" pitchFamily="34" charset="0"/>
              </a:rPr>
              <a:t>˚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UDC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'UDC results'!$I$3:$I$9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'UDC results'!$N$3:$N$9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0.20352320000000004</c:v>
                </c:pt>
                <c:pt idx="3">
                  <c:v>0.20754174375000004</c:v>
                </c:pt>
                <c:pt idx="4">
                  <c:v>0.19756874999999999</c:v>
                </c:pt>
                <c:pt idx="5">
                  <c:v>0.18913510000000006</c:v>
                </c:pt>
                <c:pt idx="6">
                  <c:v>0.18060839999999997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6C-4655-8F34-8C74721B1D03}"/>
            </c:ext>
          </c:extLst>
        </c:ser>
        <c:ser>
          <c:idx val="1"/>
          <c:order val="1"/>
          <c:tx>
            <c:v>Wind Tunnel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'Wind Tunnel Beta=24.5deg data'!$G$6:$G$12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Beta=24.5deg data'!$C$6:$C$12</c:f>
              <c:numCache>
                <c:formatCode>General</c:formatCode>
                <c:ptCount val="7"/>
                <c:pt idx="0">
                  <c:v>0.2412</c:v>
                </c:pt>
                <c:pt idx="1">
                  <c:v>0.23649999999999999</c:v>
                </c:pt>
                <c:pt idx="2">
                  <c:v>0.2291</c:v>
                </c:pt>
                <c:pt idx="3">
                  <c:v>0.22170000000000001</c:v>
                </c:pt>
                <c:pt idx="4">
                  <c:v>0.21440000000000001</c:v>
                </c:pt>
                <c:pt idx="5">
                  <c:v>0.20399999999999999</c:v>
                </c:pt>
                <c:pt idx="6">
                  <c:v>0.1925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6C-4655-8F34-8C74721B1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558143"/>
        <c:axId val="923554783"/>
      </c:scatterChart>
      <c:valAx>
        <c:axId val="92355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Advance Ratio J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4783"/>
        <c:crosses val="autoZero"/>
        <c:crossBetween val="midCat"/>
      </c:valAx>
      <c:valAx>
        <c:axId val="92355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Power</a:t>
                </a:r>
                <a:r>
                  <a:rPr lang="en-GB" baseline="0"/>
                  <a:t> Coefficient CP </a:t>
                </a:r>
                <a:r>
                  <a:rPr lang="en-GB"/>
                  <a:t>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for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β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_0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=14.5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rotesque" panose="020B0504020202020204" pitchFamily="34" charset="0"/>
              </a:rPr>
              <a:t>˚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UDC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'UDC results'!$I$13:$I$19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'UDC results'!$N$13:$N$19</c:f>
              <c:numCache>
                <c:formatCode>General</c:formatCode>
                <c:ptCount val="7"/>
                <c:pt idx="0">
                  <c:v>8.3902499999999991E-2</c:v>
                </c:pt>
                <c:pt idx="1">
                  <c:v>7.861559999999998E-2</c:v>
                </c:pt>
                <c:pt idx="2">
                  <c:v>7.1865600000000016E-2</c:v>
                </c:pt>
                <c:pt idx="3">
                  <c:v>6.2470743750000009E-2</c:v>
                </c:pt>
                <c:pt idx="4">
                  <c:v>5.389625E-2</c:v>
                </c:pt>
                <c:pt idx="5">
                  <c:v>4.5330532500000013E-2</c:v>
                </c:pt>
                <c:pt idx="6">
                  <c:v>3.3779159999999996E-2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21-4826-B078-3E60F5EC8017}"/>
            </c:ext>
          </c:extLst>
        </c:ser>
        <c:ser>
          <c:idx val="1"/>
          <c:order val="1"/>
          <c:tx>
            <c:v>Wind Tunnel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'Wind Tunnel Beta=14.5deg data'!$G$6:$G$12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Beta=14.5deg data'!$C$6:$C$12</c:f>
              <c:numCache>
                <c:formatCode>General</c:formatCode>
                <c:ptCount val="7"/>
                <c:pt idx="0">
                  <c:v>9.3840000000000007E-2</c:v>
                </c:pt>
                <c:pt idx="1">
                  <c:v>9.0200000000000002E-2</c:v>
                </c:pt>
                <c:pt idx="2">
                  <c:v>8.5440000000000002E-2</c:v>
                </c:pt>
                <c:pt idx="3">
                  <c:v>7.9189999999999997E-2</c:v>
                </c:pt>
                <c:pt idx="4">
                  <c:v>7.1819999999999995E-2</c:v>
                </c:pt>
                <c:pt idx="5">
                  <c:v>6.447E-2</c:v>
                </c:pt>
                <c:pt idx="6">
                  <c:v>5.8200000000000002E-2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21-4826-B078-3E60F5EC8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558143"/>
        <c:axId val="923554783"/>
      </c:scatterChart>
      <c:valAx>
        <c:axId val="92355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Advance Ratio J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4783"/>
        <c:crosses val="autoZero"/>
        <c:crossBetween val="midCat"/>
      </c:valAx>
      <c:valAx>
        <c:axId val="92355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Power</a:t>
                </a:r>
                <a:r>
                  <a:rPr lang="en-GB" baseline="0"/>
                  <a:t> Coefficient CP </a:t>
                </a:r>
                <a:r>
                  <a:rPr lang="en-GB"/>
                  <a:t>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6350</xdr:colOff>
      <xdr:row>4</xdr:row>
      <xdr:rowOff>12700</xdr:rowOff>
    </xdr:from>
    <xdr:to>
      <xdr:col>20</xdr:col>
      <xdr:colOff>311150</xdr:colOff>
      <xdr:row>18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B9DBEA-1BDE-20CB-2E05-6EF896E37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12700</xdr:colOff>
      <xdr:row>20</xdr:row>
      <xdr:rowOff>0</xdr:rowOff>
    </xdr:from>
    <xdr:to>
      <xdr:col>20</xdr:col>
      <xdr:colOff>317500</xdr:colOff>
      <xdr:row>34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A27086-141D-4800-9299-255D5B6E8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3175</xdr:colOff>
      <xdr:row>4</xdr:row>
      <xdr:rowOff>3175</xdr:rowOff>
    </xdr:from>
    <xdr:to>
      <xdr:col>20</xdr:col>
      <xdr:colOff>307975</xdr:colOff>
      <xdr:row>18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97C908-324B-49BF-8F20-C474CC9C2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20</xdr:row>
      <xdr:rowOff>4762</xdr:rowOff>
    </xdr:from>
    <xdr:to>
      <xdr:col>20</xdr:col>
      <xdr:colOff>304800</xdr:colOff>
      <xdr:row>34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600C60-3727-8538-0E37-2D1053718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537045</xdr:colOff>
      <xdr:row>8</xdr:row>
      <xdr:rowOff>24821</xdr:rowOff>
    </xdr:from>
    <xdr:to>
      <xdr:col>24</xdr:col>
      <xdr:colOff>413358</xdr:colOff>
      <xdr:row>24</xdr:row>
      <xdr:rowOff>177856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43C861-BAC5-4CDF-B6FA-0D4397F84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517384</xdr:colOff>
      <xdr:row>25</xdr:row>
      <xdr:rowOff>5376</xdr:rowOff>
    </xdr:from>
    <xdr:to>
      <xdr:col>24</xdr:col>
      <xdr:colOff>413045</xdr:colOff>
      <xdr:row>45</xdr:row>
      <xdr:rowOff>131707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74D565-CC52-4725-BB38-9095E5C69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408261</xdr:colOff>
      <xdr:row>8</xdr:row>
      <xdr:rowOff>24186</xdr:rowOff>
    </xdr:from>
    <xdr:to>
      <xdr:col>32</xdr:col>
      <xdr:colOff>101565</xdr:colOff>
      <xdr:row>24</xdr:row>
      <xdr:rowOff>179126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52033A-0C7E-43F1-A8EE-C1C0DC0E9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409234</xdr:colOff>
      <xdr:row>25</xdr:row>
      <xdr:rowOff>6590</xdr:rowOff>
    </xdr:from>
    <xdr:to>
      <xdr:col>32</xdr:col>
      <xdr:colOff>98101</xdr:colOff>
      <xdr:row>45</xdr:row>
      <xdr:rowOff>150575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8A818C-FB3F-43BE-8B67-6A85FF77A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4296ED-89F6-42AC-8851-3C11ABEF8F54}" name="Table1" displayName="Table1" ref="A5:D12" totalsRowShown="0">
  <autoFilter ref="A5:D12" xr:uid="{3B4296ED-89F6-42AC-8851-3C11ABEF8F54}"/>
  <tableColumns count="4">
    <tableColumn id="1" xr3:uid="{29ABFF0D-E0B2-47B7-91D1-13ECB5D2F91C}" name="J"/>
    <tableColumn id="2" xr3:uid="{D1C4D961-3359-484B-AC98-CD0007496AF4}" name="C_T"/>
    <tableColumn id="3" xr3:uid="{4AFBF296-9077-4A54-9E31-6E461321828F}" name="C_P"/>
    <tableColumn id="4" xr3:uid="{A0AE88A3-F978-48D2-BECE-0446AF96AAAB}" name="Eta" dataDxfId="9">
      <calculatedColumnFormula>Table1[[#This Row],[C_T]]/Table1[[#This Row],[C_P]]*Table1[[#This Row],[J]]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469267-DFAB-445F-A105-A03D872ECC3C}" name="Table2" displayName="Table2" ref="G5:J12" totalsRowShown="0">
  <autoFilter ref="G5:J12" xr:uid="{89469267-DFAB-445F-A105-A03D872ECC3C}"/>
  <tableColumns count="4">
    <tableColumn id="1" xr3:uid="{E3D689F5-B43D-4B53-B3BC-A1930A9A680A}" name="J" dataDxfId="8">
      <calculatedColumnFormula>Table1[[#This Row],[J]]</calculatedColumnFormula>
    </tableColumn>
    <tableColumn id="2" xr3:uid="{A90F5A15-4E8F-42CD-B615-C0FA79DD1536}" name="T_C" dataDxfId="7">
      <calculatedColumnFormula>Table1[[#This Row],[C_T]]*2/POWER(Table1[[#This Row],[J]],2)</calculatedColumnFormula>
    </tableColumn>
    <tableColumn id="3" xr3:uid="{A0A7E7C4-CFC3-4CA8-9478-AFCD0D800B2B}" name="P_C" dataDxfId="6">
      <calculatedColumnFormula>Table1[[#This Row],[C_P]]*2/POWER(Table2[[#This Row],[J]],3)</calculatedColumnFormula>
    </tableColumn>
    <tableColumn id="4" xr3:uid="{18B4E670-68E4-4D17-B399-7D20B93C204F}" name="Eta" dataDxfId="5">
      <calculatedColumnFormula>Table2[[#This Row],[T_C]]/Table2[[#This Row],[P_C]]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D6677F-8ECF-4E32-946E-D31D05DAB11F}" name="Table14" displayName="Table14" ref="A5:D12" totalsRowShown="0">
  <autoFilter ref="A5:D12" xr:uid="{3B4296ED-89F6-42AC-8851-3C11ABEF8F54}"/>
  <tableColumns count="4">
    <tableColumn id="1" xr3:uid="{C149BBF6-A8E9-4EBB-9499-1359884248B9}" name="J"/>
    <tableColumn id="2" xr3:uid="{944C6200-702E-4286-A1C4-A0B13B1C2582}" name="C_T"/>
    <tableColumn id="3" xr3:uid="{0C234C63-EAC7-4DA5-A621-F79654C1515D}" name="C_P"/>
    <tableColumn id="4" xr3:uid="{85015DF5-982B-45C5-8783-398164E6F3D2}" name="Eta" dataDxfId="4">
      <calculatedColumnFormula>Table14[[#This Row],[C_T]]/Table14[[#This Row],[C_P]]*Table14[[#This Row],[J]]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8DCF99-C126-46A4-BEB0-1ACA0793BD79}" name="Table25" displayName="Table25" ref="G5:J12" totalsRowShown="0">
  <autoFilter ref="G5:J12" xr:uid="{89469267-DFAB-445F-A105-A03D872ECC3C}"/>
  <tableColumns count="4">
    <tableColumn id="1" xr3:uid="{85258774-B764-4008-955C-0BE292368B91}" name="J" dataDxfId="3">
      <calculatedColumnFormula>Table14[[#This Row],[J]]</calculatedColumnFormula>
    </tableColumn>
    <tableColumn id="2" xr3:uid="{1CC519D0-C3F3-4E4A-A2E5-9FBFF6C234BB}" name="T_C" dataDxfId="2">
      <calculatedColumnFormula>Table14[[#This Row],[C_T]]*2/POWER(Table14[[#This Row],[J]],2)</calculatedColumnFormula>
    </tableColumn>
    <tableColumn id="3" xr3:uid="{9C4FE48A-1F92-49E4-97E7-D97D0A26F74A}" name="P_C" dataDxfId="1">
      <calculatedColumnFormula>Table14[[#This Row],[C_P]]*2/POWER(Table25[[#This Row],[J]],3)</calculatedColumnFormula>
    </tableColumn>
    <tableColumn id="4" xr3:uid="{EF4FF774-63A0-405E-A48F-EC42A8ECE784}" name="Eta" dataDxfId="0">
      <calculatedColumnFormula>Table25[[#This Row],[T_C]]/Table25[[#This Row],[P_C]]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trs.nasa.gov/api/citations/19670025554/downloads/19670025554.pdf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ntrs.nasa.gov/api/citations/19670025554/downloads/19670025554.pdf" TargetMode="Externa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6E69B-6441-4D2A-91E2-CF3588D774EF}">
  <dimension ref="A1:J27"/>
  <sheetViews>
    <sheetView workbookViewId="0">
      <selection activeCell="A23" activeCellId="1" sqref="A22 A23"/>
    </sheetView>
  </sheetViews>
  <sheetFormatPr defaultRowHeight="15" x14ac:dyDescent="0.25"/>
  <sheetData>
    <row r="1" spans="1:10" x14ac:dyDescent="0.25">
      <c r="A1" s="1" t="s">
        <v>28</v>
      </c>
    </row>
    <row r="2" spans="1:10" x14ac:dyDescent="0.25">
      <c r="A2" t="s">
        <v>11</v>
      </c>
    </row>
    <row r="3" spans="1:10" x14ac:dyDescent="0.25">
      <c r="A3" s="2" t="s">
        <v>10</v>
      </c>
    </row>
    <row r="4" spans="1:10" x14ac:dyDescent="0.25">
      <c r="A4" t="s">
        <v>15</v>
      </c>
      <c r="G4" t="s">
        <v>16</v>
      </c>
    </row>
    <row r="5" spans="1:10" x14ac:dyDescent="0.25">
      <c r="A5" t="s">
        <v>1</v>
      </c>
      <c r="B5" t="s">
        <v>12</v>
      </c>
      <c r="C5" t="s">
        <v>13</v>
      </c>
      <c r="D5" t="s">
        <v>14</v>
      </c>
      <c r="G5" t="s">
        <v>1</v>
      </c>
      <c r="H5" t="s">
        <v>34</v>
      </c>
      <c r="I5" t="s">
        <v>35</v>
      </c>
      <c r="J5" t="s">
        <v>14</v>
      </c>
    </row>
    <row r="6" spans="1:10" x14ac:dyDescent="0.25">
      <c r="A6">
        <v>0.3</v>
      </c>
      <c r="B6">
        <v>0.37369999999999998</v>
      </c>
      <c r="C6">
        <v>0.2412</v>
      </c>
      <c r="D6">
        <f>Table1[[#This Row],[C_T]]/Table1[[#This Row],[C_P]]*Table1[[#This Row],[J]]</f>
        <v>0.4648009950248756</v>
      </c>
      <c r="G6">
        <f>Table1[[#This Row],[J]]</f>
        <v>0.3</v>
      </c>
      <c r="H6">
        <f>Table1[[#This Row],[C_T]]*2/POWER(Table1[[#This Row],[J]],2)</f>
        <v>8.3044444444444441</v>
      </c>
      <c r="I6">
        <f>Table1[[#This Row],[C_P]]*2/POWER(Table2[[#This Row],[J]],3)</f>
        <v>17.866666666666667</v>
      </c>
      <c r="J6">
        <f>Table2[[#This Row],[T_C]]/Table2[[#This Row],[P_C]]</f>
        <v>0.4648009950248756</v>
      </c>
    </row>
    <row r="7" spans="1:10" x14ac:dyDescent="0.25">
      <c r="A7">
        <v>0.35</v>
      </c>
      <c r="B7">
        <v>0.35</v>
      </c>
      <c r="C7">
        <v>0.23649999999999999</v>
      </c>
      <c r="D7">
        <f>Table1[[#This Row],[C_T]]/Table1[[#This Row],[C_P]]*Table1[[#This Row],[J]]</f>
        <v>0.51797040169133191</v>
      </c>
      <c r="G7">
        <f>Table1[[#This Row],[J]]</f>
        <v>0.35</v>
      </c>
      <c r="H7">
        <f>Table1[[#This Row],[C_T]]*2/POWER(Table1[[#This Row],[J]],2)</f>
        <v>5.7142857142857144</v>
      </c>
      <c r="I7">
        <f>Table1[[#This Row],[C_P]]*2/POWER(Table2[[#This Row],[J]],3)</f>
        <v>11.032069970845484</v>
      </c>
      <c r="J7">
        <f>Table2[[#This Row],[T_C]]/Table2[[#This Row],[P_C]]</f>
        <v>0.51797040169133179</v>
      </c>
    </row>
    <row r="8" spans="1:10" x14ac:dyDescent="0.25">
      <c r="A8">
        <v>0.4</v>
      </c>
      <c r="B8">
        <v>0.32</v>
      </c>
      <c r="C8">
        <v>0.2291</v>
      </c>
      <c r="D8">
        <f>Table1[[#This Row],[C_T]]/Table1[[#This Row],[C_P]]*Table1[[#This Row],[J]]</f>
        <v>0.5587079877782628</v>
      </c>
      <c r="G8">
        <f>Table1[[#This Row],[J]]</f>
        <v>0.4</v>
      </c>
      <c r="H8">
        <f>Table1[[#This Row],[C_T]]*2/POWER(Table1[[#This Row],[J]],2)</f>
        <v>3.9999999999999991</v>
      </c>
      <c r="I8">
        <f>Table1[[#This Row],[C_P]]*2/POWER(Table2[[#This Row],[J]],3)</f>
        <v>7.159374999999998</v>
      </c>
      <c r="J8">
        <f>Table2[[#This Row],[T_C]]/Table2[[#This Row],[P_C]]</f>
        <v>0.5587079877782628</v>
      </c>
    </row>
    <row r="9" spans="1:10" x14ac:dyDescent="0.25">
      <c r="A9">
        <v>0.45</v>
      </c>
      <c r="B9">
        <v>0.29599999999999999</v>
      </c>
      <c r="C9">
        <v>0.22170000000000001</v>
      </c>
      <c r="D9">
        <f>Table1[[#This Row],[C_T]]/Table1[[#This Row],[C_P]]*Table1[[#This Row],[J]]</f>
        <v>0.60081190798376183</v>
      </c>
      <c r="G9">
        <f>Table1[[#This Row],[J]]</f>
        <v>0.45</v>
      </c>
      <c r="H9">
        <f>Table1[[#This Row],[C_T]]*2/POWER(Table1[[#This Row],[J]],2)</f>
        <v>2.9234567901234563</v>
      </c>
      <c r="I9">
        <f>Table1[[#This Row],[C_P]]*2/POWER(Table2[[#This Row],[J]],3)</f>
        <v>4.8658436213991765</v>
      </c>
      <c r="J9">
        <f>Table2[[#This Row],[T_C]]/Table2[[#This Row],[P_C]]</f>
        <v>0.60081190798376183</v>
      </c>
    </row>
    <row r="10" spans="1:10" x14ac:dyDescent="0.25">
      <c r="A10">
        <v>0.5</v>
      </c>
      <c r="B10">
        <v>0.27</v>
      </c>
      <c r="C10">
        <v>0.21440000000000001</v>
      </c>
      <c r="D10">
        <f>Table1[[#This Row],[C_T]]/Table1[[#This Row],[C_P]]*Table1[[#This Row],[J]]</f>
        <v>0.62966417910447758</v>
      </c>
      <c r="G10">
        <f>Table1[[#This Row],[J]]</f>
        <v>0.5</v>
      </c>
      <c r="H10">
        <f>Table1[[#This Row],[C_T]]*2/POWER(Table1[[#This Row],[J]],2)</f>
        <v>2.16</v>
      </c>
      <c r="I10">
        <f>Table1[[#This Row],[C_P]]*2/POWER(Table2[[#This Row],[J]],3)</f>
        <v>3.4304000000000001</v>
      </c>
      <c r="J10">
        <f>Table2[[#This Row],[T_C]]/Table2[[#This Row],[P_C]]</f>
        <v>0.62966417910447758</v>
      </c>
    </row>
    <row r="11" spans="1:10" x14ac:dyDescent="0.25">
      <c r="A11">
        <v>0.55000000000000004</v>
      </c>
      <c r="B11">
        <v>0.246</v>
      </c>
      <c r="C11">
        <v>0.20399999999999999</v>
      </c>
      <c r="D11">
        <f>Table1[[#This Row],[C_T]]/Table1[[#This Row],[C_P]]*Table1[[#This Row],[J]]</f>
        <v>0.66323529411764715</v>
      </c>
      <c r="G11">
        <f>Table1[[#This Row],[J]]</f>
        <v>0.55000000000000004</v>
      </c>
      <c r="H11">
        <f>Table1[[#This Row],[C_T]]*2/POWER(Table1[[#This Row],[J]],2)</f>
        <v>1.6264462809917353</v>
      </c>
      <c r="I11">
        <f>Table1[[#This Row],[C_P]]*2/POWER(Table2[[#This Row],[J]],3)</f>
        <v>2.4522915101427487</v>
      </c>
      <c r="J11">
        <f>Table2[[#This Row],[T_C]]/Table2[[#This Row],[P_C]]</f>
        <v>0.66323529411764726</v>
      </c>
    </row>
    <row r="12" spans="1:10" x14ac:dyDescent="0.25">
      <c r="A12">
        <v>0.6</v>
      </c>
      <c r="B12">
        <v>0.22</v>
      </c>
      <c r="C12">
        <v>0.1925</v>
      </c>
      <c r="D12">
        <f>Table1[[#This Row],[C_T]]/Table1[[#This Row],[C_P]]*Table1[[#This Row],[J]]</f>
        <v>0.68571428571428561</v>
      </c>
      <c r="G12">
        <f>Table1[[#This Row],[J]]</f>
        <v>0.6</v>
      </c>
      <c r="H12">
        <f>Table1[[#This Row],[C_T]]*2/POWER(Table1[[#This Row],[J]],2)</f>
        <v>1.2222222222222223</v>
      </c>
      <c r="I12">
        <f>Table1[[#This Row],[C_P]]*2/POWER(Table2[[#This Row],[J]],3)</f>
        <v>1.7824074074074074</v>
      </c>
      <c r="J12">
        <f>Table2[[#This Row],[T_C]]/Table2[[#This Row],[P_C]]</f>
        <v>0.68571428571428572</v>
      </c>
    </row>
    <row r="16" spans="1:10" x14ac:dyDescent="0.25">
      <c r="A16" s="8" t="s">
        <v>29</v>
      </c>
    </row>
    <row r="17" spans="1:1" x14ac:dyDescent="0.25">
      <c r="A17" t="s">
        <v>30</v>
      </c>
    </row>
    <row r="18" spans="1:1" x14ac:dyDescent="0.25">
      <c r="A18" t="s">
        <v>32</v>
      </c>
    </row>
    <row r="19" spans="1:1" x14ac:dyDescent="0.25">
      <c r="A19" t="s">
        <v>31</v>
      </c>
    </row>
    <row r="22" spans="1:1" x14ac:dyDescent="0.25">
      <c r="A22" t="s">
        <v>40</v>
      </c>
    </row>
    <row r="23" spans="1:1" x14ac:dyDescent="0.25">
      <c r="A23" t="s">
        <v>41</v>
      </c>
    </row>
    <row r="24" spans="1:1" x14ac:dyDescent="0.25">
      <c r="A24" t="s">
        <v>36</v>
      </c>
    </row>
    <row r="25" spans="1:1" x14ac:dyDescent="0.25">
      <c r="A25" t="s">
        <v>37</v>
      </c>
    </row>
    <row r="26" spans="1:1" x14ac:dyDescent="0.25">
      <c r="A26" t="s">
        <v>38</v>
      </c>
    </row>
    <row r="27" spans="1:1" x14ac:dyDescent="0.25">
      <c r="A27" t="s">
        <v>39</v>
      </c>
    </row>
  </sheetData>
  <hyperlinks>
    <hyperlink ref="A3" r:id="rId1" display="https://ntrs.nasa.gov/api/citations/19670025554/downloads/19670025554.pdf" xr:uid="{A6083A8A-7AE3-4F47-9868-C106DB83A679}"/>
  </hyperlinks>
  <pageMargins left="0.7" right="0.7" top="0.75" bottom="0.75" header="0.3" footer="0.3"/>
  <pageSetup orientation="portrait" horizontalDpi="1200" verticalDpi="1200" r:id="rId2"/>
  <drawing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950F-5FB4-419F-B6AE-C3E6C12B06BE}">
  <dimension ref="A1:J27"/>
  <sheetViews>
    <sheetView workbookViewId="0">
      <selection activeCell="E37" sqref="E37"/>
    </sheetView>
  </sheetViews>
  <sheetFormatPr defaultRowHeight="15" x14ac:dyDescent="0.25"/>
  <sheetData>
    <row r="1" spans="1:10" x14ac:dyDescent="0.25">
      <c r="A1" s="1" t="s">
        <v>33</v>
      </c>
    </row>
    <row r="2" spans="1:10" x14ac:dyDescent="0.25">
      <c r="A2" t="s">
        <v>11</v>
      </c>
    </row>
    <row r="3" spans="1:10" x14ac:dyDescent="0.25">
      <c r="A3" s="2" t="s">
        <v>10</v>
      </c>
    </row>
    <row r="4" spans="1:10" x14ac:dyDescent="0.25">
      <c r="A4" t="s">
        <v>15</v>
      </c>
      <c r="G4" t="s">
        <v>16</v>
      </c>
    </row>
    <row r="5" spans="1:10" x14ac:dyDescent="0.25">
      <c r="A5" t="s">
        <v>1</v>
      </c>
      <c r="B5" t="s">
        <v>12</v>
      </c>
      <c r="C5" t="s">
        <v>13</v>
      </c>
      <c r="D5" t="s">
        <v>14</v>
      </c>
      <c r="G5" t="s">
        <v>1</v>
      </c>
      <c r="H5" t="s">
        <v>34</v>
      </c>
      <c r="I5" t="s">
        <v>35</v>
      </c>
      <c r="J5" t="s">
        <v>14</v>
      </c>
    </row>
    <row r="6" spans="1:10" x14ac:dyDescent="0.25">
      <c r="A6">
        <v>0.3</v>
      </c>
      <c r="B6">
        <v>0.16950000000000001</v>
      </c>
      <c r="C6">
        <v>9.3840000000000007E-2</v>
      </c>
      <c r="D6">
        <f>Table14[[#This Row],[C_T]]/Table14[[#This Row],[C_P]]*Table14[[#This Row],[J]]</f>
        <v>0.54187979539641939</v>
      </c>
      <c r="G6">
        <f>Table14[[#This Row],[J]]</f>
        <v>0.3</v>
      </c>
      <c r="H6">
        <f>Table14[[#This Row],[C_T]]*2/POWER(Table14[[#This Row],[J]],2)</f>
        <v>3.7666666666666671</v>
      </c>
      <c r="I6">
        <f>Table14[[#This Row],[C_P]]*2/POWER(Table25[[#This Row],[J]],3)</f>
        <v>6.9511111111111115</v>
      </c>
      <c r="J6">
        <f>Table25[[#This Row],[T_C]]/Table25[[#This Row],[P_C]]</f>
        <v>0.54187979539641951</v>
      </c>
    </row>
    <row r="7" spans="1:10" x14ac:dyDescent="0.25">
      <c r="A7">
        <v>0.35</v>
      </c>
      <c r="B7">
        <v>0.14949999999999999</v>
      </c>
      <c r="C7">
        <v>9.0200000000000002E-2</v>
      </c>
      <c r="D7">
        <f>Table14[[#This Row],[C_T]]/Table14[[#This Row],[C_P]]*Table14[[#This Row],[J]]</f>
        <v>0.58009977827050985</v>
      </c>
      <c r="G7">
        <f>Table14[[#This Row],[J]]</f>
        <v>0.35</v>
      </c>
      <c r="H7">
        <f>Table14[[#This Row],[C_T]]*2/POWER(Table14[[#This Row],[J]],2)</f>
        <v>2.4408163265306126</v>
      </c>
      <c r="I7">
        <f>Table14[[#This Row],[C_P]]*2/POWER(Table25[[#This Row],[J]],3)</f>
        <v>4.2075801749271147</v>
      </c>
      <c r="J7">
        <f>Table25[[#This Row],[T_C]]/Table25[[#This Row],[P_C]]</f>
        <v>0.58009977827050996</v>
      </c>
    </row>
    <row r="8" spans="1:10" x14ac:dyDescent="0.25">
      <c r="A8">
        <v>0.4</v>
      </c>
      <c r="B8">
        <v>0.13070000000000001</v>
      </c>
      <c r="C8">
        <v>8.5440000000000002E-2</v>
      </c>
      <c r="D8">
        <f>Table14[[#This Row],[C_T]]/Table14[[#This Row],[C_P]]*Table14[[#This Row],[J]]</f>
        <v>0.61189138576779034</v>
      </c>
      <c r="G8">
        <f>Table14[[#This Row],[J]]</f>
        <v>0.4</v>
      </c>
      <c r="H8">
        <f>Table14[[#This Row],[C_T]]*2/POWER(Table14[[#This Row],[J]],2)</f>
        <v>1.6337499999999998</v>
      </c>
      <c r="I8">
        <f>Table14[[#This Row],[C_P]]*2/POWER(Table25[[#This Row],[J]],3)</f>
        <v>2.6699999999999995</v>
      </c>
      <c r="J8">
        <f>Table25[[#This Row],[T_C]]/Table25[[#This Row],[P_C]]</f>
        <v>0.61189138576779034</v>
      </c>
    </row>
    <row r="9" spans="1:10" x14ac:dyDescent="0.25">
      <c r="A9">
        <v>0.45</v>
      </c>
      <c r="B9">
        <v>0.1119</v>
      </c>
      <c r="C9">
        <v>7.9189999999999997E-2</v>
      </c>
      <c r="D9">
        <f>Table14[[#This Row],[C_T]]/Table14[[#This Row],[C_P]]*Table14[[#This Row],[J]]</f>
        <v>0.6358757418866019</v>
      </c>
      <c r="G9">
        <f>Table14[[#This Row],[J]]</f>
        <v>0.45</v>
      </c>
      <c r="H9">
        <f>Table14[[#This Row],[C_T]]*2/POWER(Table14[[#This Row],[J]],2)</f>
        <v>1.105185185185185</v>
      </c>
      <c r="I9">
        <f>Table14[[#This Row],[C_P]]*2/POWER(Table25[[#This Row],[J]],3)</f>
        <v>1.7380521262002742</v>
      </c>
      <c r="J9">
        <f>Table25[[#This Row],[T_C]]/Table25[[#This Row],[P_C]]</f>
        <v>0.63587574188660179</v>
      </c>
    </row>
    <row r="10" spans="1:10" x14ac:dyDescent="0.25">
      <c r="A10">
        <v>0.5</v>
      </c>
      <c r="B10">
        <v>8.9349999999999999E-2</v>
      </c>
      <c r="C10">
        <v>7.1819999999999995E-2</v>
      </c>
      <c r="D10">
        <f>Table14[[#This Row],[C_T]]/Table14[[#This Row],[C_P]]*Table14[[#This Row],[J]]</f>
        <v>0.62204121414647739</v>
      </c>
      <c r="G10">
        <f>Table14[[#This Row],[J]]</f>
        <v>0.5</v>
      </c>
      <c r="H10">
        <f>Table14[[#This Row],[C_T]]*2/POWER(Table14[[#This Row],[J]],2)</f>
        <v>0.71479999999999999</v>
      </c>
      <c r="I10">
        <f>Table14[[#This Row],[C_P]]*2/POWER(Table25[[#This Row],[J]],3)</f>
        <v>1.1491199999999999</v>
      </c>
      <c r="J10">
        <f>Table25[[#This Row],[T_C]]/Table25[[#This Row],[P_C]]</f>
        <v>0.62204121414647739</v>
      </c>
    </row>
    <row r="11" spans="1:10" x14ac:dyDescent="0.25">
      <c r="A11">
        <v>0.55000000000000004</v>
      </c>
      <c r="B11">
        <v>7.1819999999999995E-2</v>
      </c>
      <c r="C11">
        <v>6.447E-2</v>
      </c>
      <c r="D11">
        <f>Table14[[#This Row],[C_T]]/Table14[[#This Row],[C_P]]*Table14[[#This Row],[J]]</f>
        <v>0.61270358306188921</v>
      </c>
      <c r="G11">
        <f>Table14[[#This Row],[J]]</f>
        <v>0.55000000000000004</v>
      </c>
      <c r="H11">
        <f>Table14[[#This Row],[C_T]]*2/POWER(Table14[[#This Row],[J]],2)</f>
        <v>0.47484297520661145</v>
      </c>
      <c r="I11">
        <f>Table14[[#This Row],[C_P]]*2/POWER(Table25[[#This Row],[J]],3)</f>
        <v>0.77499624342599527</v>
      </c>
      <c r="J11">
        <f>Table25[[#This Row],[T_C]]/Table25[[#This Row],[P_C]]</f>
        <v>0.61270358306188932</v>
      </c>
    </row>
    <row r="12" spans="1:10" x14ac:dyDescent="0.25">
      <c r="A12">
        <v>0.6</v>
      </c>
      <c r="B12">
        <v>0.05</v>
      </c>
      <c r="C12">
        <v>5.8200000000000002E-2</v>
      </c>
      <c r="D12">
        <f>Table14[[#This Row],[C_T]]/Table14[[#This Row],[C_P]]*Table14[[#This Row],[J]]</f>
        <v>0.51546391752577325</v>
      </c>
      <c r="G12">
        <f>Table14[[#This Row],[J]]</f>
        <v>0.6</v>
      </c>
      <c r="H12">
        <f>Table14[[#This Row],[C_T]]*2/POWER(Table14[[#This Row],[J]],2)</f>
        <v>0.27777777777777779</v>
      </c>
      <c r="I12">
        <f>Table14[[#This Row],[C_P]]*2/POWER(Table25[[#This Row],[J]],3)</f>
        <v>0.53888888888888886</v>
      </c>
      <c r="J12">
        <f>Table25[[#This Row],[T_C]]/Table25[[#This Row],[P_C]]</f>
        <v>0.51546391752577325</v>
      </c>
    </row>
    <row r="16" spans="1:10" x14ac:dyDescent="0.25">
      <c r="A16" s="8" t="s">
        <v>29</v>
      </c>
    </row>
    <row r="17" spans="1:1" x14ac:dyDescent="0.25">
      <c r="A17" t="s">
        <v>30</v>
      </c>
    </row>
    <row r="18" spans="1:1" x14ac:dyDescent="0.25">
      <c r="A18" t="s">
        <v>32</v>
      </c>
    </row>
    <row r="19" spans="1:1" x14ac:dyDescent="0.25">
      <c r="A19" t="s">
        <v>31</v>
      </c>
    </row>
    <row r="22" spans="1:1" x14ac:dyDescent="0.25">
      <c r="A22" t="s">
        <v>40</v>
      </c>
    </row>
    <row r="23" spans="1:1" x14ac:dyDescent="0.25">
      <c r="A23" t="s">
        <v>41</v>
      </c>
    </row>
    <row r="24" spans="1:1" x14ac:dyDescent="0.25">
      <c r="A24" t="s">
        <v>36</v>
      </c>
    </row>
    <row r="25" spans="1:1" x14ac:dyDescent="0.25">
      <c r="A25" t="s">
        <v>37</v>
      </c>
    </row>
    <row r="26" spans="1:1" x14ac:dyDescent="0.25">
      <c r="A26" t="s">
        <v>38</v>
      </c>
    </row>
    <row r="27" spans="1:1" x14ac:dyDescent="0.25">
      <c r="A27" t="s">
        <v>39</v>
      </c>
    </row>
  </sheetData>
  <hyperlinks>
    <hyperlink ref="A3" r:id="rId1" display="https://ntrs.nasa.gov/api/citations/19670025554/downloads/19670025554.pdf" xr:uid="{32D5FC28-B623-4240-8744-F141053DFCE5}"/>
  </hyperlinks>
  <pageMargins left="0.7" right="0.7" top="0.75" bottom="0.75" header="0.3" footer="0.3"/>
  <pageSetup orientation="portrait" horizontalDpi="1200" verticalDpi="1200" r:id="rId2"/>
  <drawing r:id="rId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3C9B-DBC3-40D2-A144-241D094FABD6}">
  <dimension ref="F1:AA19"/>
  <sheetViews>
    <sheetView tabSelected="1" topLeftCell="K1" zoomScaleNormal="100" workbookViewId="0">
      <selection activeCell="U3" sqref="U3"/>
    </sheetView>
  </sheetViews>
  <sheetFormatPr defaultRowHeight="15" x14ac:dyDescent="0.25"/>
  <cols>
    <col min="16" max="16" width="11.5703125" bestFit="1" customWidth="1"/>
  </cols>
  <sheetData>
    <row r="1" spans="6:27" x14ac:dyDescent="0.25">
      <c r="F1" t="s">
        <v>2</v>
      </c>
      <c r="G1" t="s">
        <v>26</v>
      </c>
      <c r="P1" t="s">
        <v>5</v>
      </c>
      <c r="Q1">
        <f>CONVERT(7,"ft","m")</f>
        <v>2.1335999999999999</v>
      </c>
      <c r="R1" t="s">
        <v>6</v>
      </c>
      <c r="Z1" t="s">
        <v>17</v>
      </c>
    </row>
    <row r="2" spans="6:27" x14ac:dyDescent="0.25">
      <c r="F2" t="s">
        <v>3</v>
      </c>
      <c r="G2" t="s">
        <v>4</v>
      </c>
      <c r="H2" t="s">
        <v>9</v>
      </c>
      <c r="I2" t="s">
        <v>1</v>
      </c>
      <c r="J2" t="s">
        <v>21</v>
      </c>
      <c r="K2" t="s">
        <v>22</v>
      </c>
      <c r="L2" t="s">
        <v>8</v>
      </c>
      <c r="M2" t="s">
        <v>0</v>
      </c>
      <c r="N2" t="s">
        <v>7</v>
      </c>
      <c r="O2" t="s">
        <v>23</v>
      </c>
      <c r="P2" t="s">
        <v>24</v>
      </c>
      <c r="Z2" s="5"/>
      <c r="AA2" t="s">
        <v>18</v>
      </c>
    </row>
    <row r="3" spans="6:27" ht="14.1" customHeight="1" x14ac:dyDescent="0.25">
      <c r="F3">
        <f>H3*2*PI()*$Q$1/G3</f>
        <v>20.943951023931955</v>
      </c>
      <c r="G3">
        <v>26</v>
      </c>
      <c r="H3">
        <f t="shared" ref="H3:H9" si="0">G3/(I3*$Q$1)</f>
        <v>40.61992250968629</v>
      </c>
      <c r="I3">
        <v>0.3</v>
      </c>
      <c r="J3" s="6"/>
      <c r="K3" s="6"/>
      <c r="L3" t="e">
        <f>J3/K3</f>
        <v>#DIV/0!</v>
      </c>
      <c r="M3">
        <f>J3*POWER(I3,2)/2</f>
        <v>0</v>
      </c>
      <c r="N3">
        <f>K3*POWER(I3,3)/2</f>
        <v>0</v>
      </c>
      <c r="O3">
        <f>ABS(M3-'Wind Tunnel Beta=24.5deg data'!B6)</f>
        <v>0.37369999999999998</v>
      </c>
      <c r="P3">
        <f>ABS(N3-'Wind Tunnel Beta=24.5deg data'!C6)</f>
        <v>0.2412</v>
      </c>
      <c r="Z3" s="3"/>
      <c r="AA3" t="s">
        <v>19</v>
      </c>
    </row>
    <row r="4" spans="6:27" ht="14.1" customHeight="1" x14ac:dyDescent="0.25">
      <c r="F4">
        <f t="shared" ref="F4:F5" si="1">H4*2*PI()*$Q$1/G4</f>
        <v>17.951958020513104</v>
      </c>
      <c r="G4">
        <v>26</v>
      </c>
      <c r="H4">
        <f t="shared" si="0"/>
        <v>34.817076436873961</v>
      </c>
      <c r="I4">
        <v>0.35</v>
      </c>
      <c r="J4" s="7"/>
      <c r="K4" s="7"/>
      <c r="L4" t="e">
        <f>J4/K4</f>
        <v>#DIV/0!</v>
      </c>
      <c r="M4">
        <f>J4*POWER(I4,2)/2</f>
        <v>0</v>
      </c>
      <c r="N4">
        <f t="shared" ref="N4:N9" si="2">K4*POWER(I4,3)/2</f>
        <v>0</v>
      </c>
      <c r="O4">
        <f>ABS(M4-'Wind Tunnel Beta=24.5deg data'!B7)</f>
        <v>0.35</v>
      </c>
      <c r="P4">
        <f>ABS(N4-'Wind Tunnel Beta=24.5deg data'!C7)</f>
        <v>0.23649999999999999</v>
      </c>
      <c r="Z4" s="4"/>
      <c r="AA4" t="s">
        <v>20</v>
      </c>
    </row>
    <row r="5" spans="6:27" x14ac:dyDescent="0.25">
      <c r="F5">
        <f t="shared" si="1"/>
        <v>15.707963267948967</v>
      </c>
      <c r="G5">
        <v>26</v>
      </c>
      <c r="H5">
        <f t="shared" si="0"/>
        <v>30.464941882264718</v>
      </c>
      <c r="I5">
        <v>0.4</v>
      </c>
      <c r="J5" s="5">
        <v>4.0869</v>
      </c>
      <c r="K5" s="5">
        <v>6.3601000000000001</v>
      </c>
      <c r="L5">
        <f>J5/K5</f>
        <v>0.64258423609691673</v>
      </c>
      <c r="M5">
        <f t="shared" ref="M5:M9" si="3">J5*POWER(I5,2)/2</f>
        <v>0.32695200000000008</v>
      </c>
      <c r="N5">
        <f t="shared" si="2"/>
        <v>0.20352320000000004</v>
      </c>
      <c r="O5">
        <f>ABS(M5-'Wind Tunnel Beta=24.5deg data'!B8)</f>
        <v>6.9520000000000692E-3</v>
      </c>
      <c r="P5">
        <f>ABS(N5-'Wind Tunnel Beta=24.5deg data'!C8)</f>
        <v>2.5576799999999955E-2</v>
      </c>
      <c r="Z5" s="6"/>
      <c r="AA5" t="s">
        <v>25</v>
      </c>
    </row>
    <row r="6" spans="6:27" x14ac:dyDescent="0.25">
      <c r="F6">
        <f>H6*2*PI()*$Q$1/G6</f>
        <v>13.962634015954636</v>
      </c>
      <c r="G6">
        <v>26</v>
      </c>
      <c r="H6">
        <f t="shared" si="0"/>
        <v>27.07994833979086</v>
      </c>
      <c r="I6">
        <v>0.45</v>
      </c>
      <c r="J6" s="5">
        <v>2.6292</v>
      </c>
      <c r="K6" s="5">
        <v>4.5551000000000004</v>
      </c>
      <c r="L6">
        <f>J6/K6</f>
        <v>0.57719918333296738</v>
      </c>
      <c r="M6">
        <f t="shared" si="3"/>
        <v>0.26620650000000001</v>
      </c>
      <c r="N6">
        <f t="shared" si="2"/>
        <v>0.20754174375000004</v>
      </c>
      <c r="O6">
        <f>ABS(M6-'Wind Tunnel Beta=24.5deg data'!B9)</f>
        <v>2.9793499999999973E-2</v>
      </c>
      <c r="P6">
        <f>ABS(N6-'Wind Tunnel Beta=24.5deg data'!C9)</f>
        <v>1.4158256249999973E-2</v>
      </c>
    </row>
    <row r="7" spans="6:27" x14ac:dyDescent="0.25">
      <c r="F7">
        <f t="shared" ref="F7:F8" si="4">H7*2*PI()*$Q$1/G7</f>
        <v>12.566370614359174</v>
      </c>
      <c r="G7">
        <v>26</v>
      </c>
      <c r="H7">
        <f t="shared" si="0"/>
        <v>24.371953505811774</v>
      </c>
      <c r="I7">
        <v>0.5</v>
      </c>
      <c r="J7" s="5">
        <v>2.2160000000000002</v>
      </c>
      <c r="K7" s="5">
        <v>3.1610999999999998</v>
      </c>
      <c r="L7">
        <f t="shared" ref="L7:L9" si="5">J7/K7</f>
        <v>0.70102179621018013</v>
      </c>
      <c r="M7">
        <f t="shared" si="3"/>
        <v>0.27700000000000002</v>
      </c>
      <c r="N7">
        <f t="shared" si="2"/>
        <v>0.19756874999999999</v>
      </c>
      <c r="O7">
        <f>ABS(M7-'Wind Tunnel Beta=24.5deg data'!B10)</f>
        <v>7.0000000000000062E-3</v>
      </c>
      <c r="P7">
        <f>ABS(N7-'Wind Tunnel Beta=24.5deg data'!C10)</f>
        <v>1.683125000000002E-2</v>
      </c>
    </row>
    <row r="8" spans="6:27" x14ac:dyDescent="0.25">
      <c r="F8">
        <f t="shared" si="4"/>
        <v>11.423973285781063</v>
      </c>
      <c r="G8">
        <v>26</v>
      </c>
      <c r="H8">
        <f t="shared" si="0"/>
        <v>22.156321368919791</v>
      </c>
      <c r="I8">
        <v>0.55000000000000004</v>
      </c>
      <c r="J8" s="5">
        <v>1.6822999999999999</v>
      </c>
      <c r="K8" s="5">
        <v>2.2736000000000001</v>
      </c>
      <c r="L8">
        <f t="shared" si="5"/>
        <v>0.73992786769880359</v>
      </c>
      <c r="M8">
        <f t="shared" si="3"/>
        <v>0.25444787500000005</v>
      </c>
      <c r="N8">
        <f t="shared" si="2"/>
        <v>0.18913510000000006</v>
      </c>
      <c r="O8">
        <f>ABS(M8-'Wind Tunnel Beta=24.5deg data'!B11)</f>
        <v>8.4478750000000491E-3</v>
      </c>
      <c r="P8">
        <f>ABS(N8-'Wind Tunnel Beta=24.5deg data'!C11)</f>
        <v>1.4864899999999931E-2</v>
      </c>
    </row>
    <row r="9" spans="6:27" x14ac:dyDescent="0.25">
      <c r="F9">
        <f>H9*2*PI()*$Q$1/G9</f>
        <v>10.471975511965978</v>
      </c>
      <c r="G9">
        <v>26</v>
      </c>
      <c r="H9">
        <f t="shared" si="0"/>
        <v>20.309961254843145</v>
      </c>
      <c r="I9">
        <v>0.6</v>
      </c>
      <c r="J9" s="5">
        <v>1.2921</v>
      </c>
      <c r="K9" s="5">
        <v>1.6722999999999999</v>
      </c>
      <c r="L9">
        <f t="shared" si="5"/>
        <v>0.77264844824493217</v>
      </c>
      <c r="M9">
        <f t="shared" si="3"/>
        <v>0.23257800000000001</v>
      </c>
      <c r="N9">
        <f t="shared" si="2"/>
        <v>0.18060839999999997</v>
      </c>
      <c r="O9">
        <f>ABS(M9-'Wind Tunnel Beta=24.5deg data'!B12)</f>
        <v>1.2578000000000006E-2</v>
      </c>
      <c r="P9">
        <f>ABS(N9-'Wind Tunnel Beta=24.5deg data'!C12)</f>
        <v>1.189160000000003E-2</v>
      </c>
    </row>
    <row r="11" spans="6:27" x14ac:dyDescent="0.25">
      <c r="F11" t="s">
        <v>2</v>
      </c>
      <c r="G11" t="s">
        <v>27</v>
      </c>
    </row>
    <row r="12" spans="6:27" x14ac:dyDescent="0.25">
      <c r="F12" t="s">
        <v>3</v>
      </c>
      <c r="G12" t="s">
        <v>4</v>
      </c>
      <c r="H12" t="s">
        <v>9</v>
      </c>
      <c r="I12" t="s">
        <v>1</v>
      </c>
      <c r="J12" t="s">
        <v>21</v>
      </c>
      <c r="K12" t="s">
        <v>22</v>
      </c>
      <c r="L12" t="s">
        <v>8</v>
      </c>
      <c r="M12" t="s">
        <v>0</v>
      </c>
      <c r="N12" t="s">
        <v>7</v>
      </c>
      <c r="O12" t="s">
        <v>23</v>
      </c>
      <c r="P12" t="s">
        <v>24</v>
      </c>
    </row>
    <row r="13" spans="6:27" x14ac:dyDescent="0.25">
      <c r="F13">
        <f t="shared" ref="F13" si="6">H13*2*PI()*$Q$1/G13</f>
        <v>20.943951023931955</v>
      </c>
      <c r="G13">
        <v>26</v>
      </c>
      <c r="H13">
        <f t="shared" ref="H13" si="7">G13/(I13*$Q$1)</f>
        <v>40.61992250968629</v>
      </c>
      <c r="I13">
        <v>0.3</v>
      </c>
      <c r="J13" s="5">
        <v>3.7997000000000001</v>
      </c>
      <c r="K13" s="5">
        <v>6.2149999999999999</v>
      </c>
      <c r="L13">
        <f>J13/K13</f>
        <v>0.61137570394207563</v>
      </c>
      <c r="M13">
        <f>J13*POWER(I13,2)/2</f>
        <v>0.17098649999999999</v>
      </c>
      <c r="N13">
        <f>K13*POWER(I13,3)/2</f>
        <v>8.3902499999999991E-2</v>
      </c>
      <c r="O13">
        <f>ABS(M13-'Wind Tunnel Beta=14.5deg data'!B6)</f>
        <v>1.486499999999974E-3</v>
      </c>
      <c r="P13">
        <f>ABS(N13-'Wind Tunnel Beta=14.5deg data'!C6)</f>
        <v>9.9375000000000158E-3</v>
      </c>
    </row>
    <row r="14" spans="6:27" x14ac:dyDescent="0.25">
      <c r="F14">
        <f t="shared" ref="F14:F19" si="8">H14*2*PI()*$Q$1/G14</f>
        <v>17.951958020513104</v>
      </c>
      <c r="G14">
        <v>26</v>
      </c>
      <c r="H14">
        <f t="shared" ref="H14:H19" si="9">G14/(I14*$Q$1)</f>
        <v>34.817076436873961</v>
      </c>
      <c r="I14">
        <v>0.35</v>
      </c>
      <c r="J14" s="5">
        <v>2.4799000000000002</v>
      </c>
      <c r="K14" s="5">
        <v>3.6671999999999998</v>
      </c>
      <c r="L14">
        <f>J14/K14</f>
        <v>0.67623800174520077</v>
      </c>
      <c r="M14">
        <f t="shared" ref="M14:M19" si="10">J14*POWER(I14,2)/2</f>
        <v>0.15189387499999998</v>
      </c>
      <c r="N14">
        <f t="shared" ref="N14:N19" si="11">K14*POWER(I14,3)/2</f>
        <v>7.861559999999998E-2</v>
      </c>
      <c r="O14">
        <f>ABS(M14-'Wind Tunnel Beta=14.5deg data'!B7)</f>
        <v>2.3938749999999898E-3</v>
      </c>
      <c r="P14">
        <f>ABS(N14-'Wind Tunnel Beta=14.5deg data'!C7)</f>
        <v>1.1584400000000022E-2</v>
      </c>
    </row>
    <row r="15" spans="6:27" x14ac:dyDescent="0.25">
      <c r="F15">
        <f t="shared" si="8"/>
        <v>15.707963267948967</v>
      </c>
      <c r="G15">
        <v>26</v>
      </c>
      <c r="H15">
        <f t="shared" si="9"/>
        <v>30.464941882264718</v>
      </c>
      <c r="I15">
        <v>0.4</v>
      </c>
      <c r="J15" s="5">
        <v>1.6433</v>
      </c>
      <c r="K15" s="5">
        <v>2.2458</v>
      </c>
      <c r="L15">
        <f>J15/K15</f>
        <v>0.73172143556861691</v>
      </c>
      <c r="M15">
        <f t="shared" si="10"/>
        <v>0.13146400000000003</v>
      </c>
      <c r="N15">
        <f t="shared" si="11"/>
        <v>7.1865600000000016E-2</v>
      </c>
      <c r="O15">
        <f>ABS(M15-'Wind Tunnel Beta=14.5deg data'!B8)</f>
        <v>7.6400000000001467E-4</v>
      </c>
      <c r="P15">
        <f>ABS(N15-'Wind Tunnel Beta=14.5deg data'!C8)</f>
        <v>1.3574399999999986E-2</v>
      </c>
    </row>
    <row r="16" spans="6:27" x14ac:dyDescent="0.25">
      <c r="F16">
        <f t="shared" si="8"/>
        <v>13.962634015954636</v>
      </c>
      <c r="G16">
        <v>26</v>
      </c>
      <c r="H16">
        <f t="shared" si="9"/>
        <v>27.07994833979086</v>
      </c>
      <c r="I16">
        <v>0.45</v>
      </c>
      <c r="J16" s="5">
        <v>1.0667</v>
      </c>
      <c r="K16" s="5">
        <v>1.3711</v>
      </c>
      <c r="L16">
        <f>J16/K16</f>
        <v>0.7779884764058056</v>
      </c>
      <c r="M16">
        <f t="shared" si="10"/>
        <v>0.108003375</v>
      </c>
      <c r="N16">
        <f t="shared" si="11"/>
        <v>6.2470743750000009E-2</v>
      </c>
      <c r="O16">
        <f>ABS(M16-'Wind Tunnel Beta=14.5deg data'!B9)</f>
        <v>3.8966250000000008E-3</v>
      </c>
      <c r="P16">
        <f>ABS(N16-'Wind Tunnel Beta=14.5deg data'!C9)</f>
        <v>1.6719256249999988E-2</v>
      </c>
    </row>
    <row r="17" spans="6:16" x14ac:dyDescent="0.25">
      <c r="F17">
        <f t="shared" si="8"/>
        <v>12.566370614359174</v>
      </c>
      <c r="G17">
        <v>50.4</v>
      </c>
      <c r="H17">
        <f t="shared" si="9"/>
        <v>47.244094488188978</v>
      </c>
      <c r="I17">
        <v>0.5</v>
      </c>
      <c r="J17" s="5">
        <v>0.69443999999999995</v>
      </c>
      <c r="K17" s="5">
        <v>0.86234</v>
      </c>
      <c r="L17">
        <f t="shared" ref="L17:L19" si="12">J17/K17</f>
        <v>0.80529721455574366</v>
      </c>
      <c r="M17">
        <f t="shared" si="10"/>
        <v>8.6804999999999993E-2</v>
      </c>
      <c r="N17">
        <f t="shared" si="11"/>
        <v>5.389625E-2</v>
      </c>
      <c r="O17">
        <f>ABS(M17-'Wind Tunnel Beta=14.5deg data'!B10)</f>
        <v>2.5450000000000056E-3</v>
      </c>
      <c r="P17">
        <f>ABS(N17-'Wind Tunnel Beta=14.5deg data'!C10)</f>
        <v>1.7923749999999995E-2</v>
      </c>
    </row>
    <row r="18" spans="6:16" x14ac:dyDescent="0.25">
      <c r="F18">
        <f t="shared" si="8"/>
        <v>11.423973285781063</v>
      </c>
      <c r="G18">
        <v>51.0441</v>
      </c>
      <c r="H18">
        <f t="shared" si="9"/>
        <v>43.498057061049181</v>
      </c>
      <c r="I18">
        <v>0.55000000000000004</v>
      </c>
      <c r="J18" s="5">
        <v>0.45101999999999998</v>
      </c>
      <c r="K18" s="5">
        <v>0.54491999999999996</v>
      </c>
      <c r="L18">
        <f t="shared" si="12"/>
        <v>0.82768112750495493</v>
      </c>
      <c r="M18">
        <f t="shared" si="10"/>
        <v>6.8216775000000007E-2</v>
      </c>
      <c r="N18">
        <f t="shared" si="11"/>
        <v>4.5330532500000013E-2</v>
      </c>
      <c r="O18">
        <f>ABS(M18-'Wind Tunnel Beta=14.5deg data'!B11)</f>
        <v>3.6032249999999877E-3</v>
      </c>
      <c r="P18">
        <f>ABS(N18-'Wind Tunnel Beta=14.5deg data'!C11)</f>
        <v>1.9139467499999986E-2</v>
      </c>
    </row>
    <row r="19" spans="6:16" x14ac:dyDescent="0.25">
      <c r="F19">
        <f t="shared" si="8"/>
        <v>10.471975511965978</v>
      </c>
      <c r="G19">
        <v>26</v>
      </c>
      <c r="H19">
        <f t="shared" si="9"/>
        <v>20.309961254843145</v>
      </c>
      <c r="I19">
        <v>0.6</v>
      </c>
      <c r="J19" s="5">
        <v>0.25599</v>
      </c>
      <c r="K19" s="5">
        <v>0.31276999999999999</v>
      </c>
      <c r="L19">
        <f t="shared" si="12"/>
        <v>0.81846084982575051</v>
      </c>
      <c r="M19">
        <f t="shared" si="10"/>
        <v>4.60782E-2</v>
      </c>
      <c r="N19">
        <f t="shared" si="11"/>
        <v>3.3779159999999996E-2</v>
      </c>
      <c r="O19">
        <f>ABS(M19-'Wind Tunnel Beta=14.5deg data'!B12)</f>
        <v>3.9218000000000031E-3</v>
      </c>
      <c r="P19">
        <f>ABS(N19-'Wind Tunnel Beta=14.5deg data'!C12)</f>
        <v>2.4420840000000006E-2</v>
      </c>
    </row>
  </sheetData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Wind Tunnel Beta=24.5deg data</vt:lpstr>
      <vt:lpstr>Wind Tunnel Beta=14.5deg data</vt:lpstr>
      <vt:lpstr>UDC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Vermeulen</dc:creator>
  <cp:lastModifiedBy>Thomas Vermeulen</cp:lastModifiedBy>
  <dcterms:created xsi:type="dcterms:W3CDTF">2025-02-20T10:19:04Z</dcterms:created>
  <dcterms:modified xsi:type="dcterms:W3CDTF">2026-05-29T12:30:13Z</dcterms:modified>
</cp:coreProperties>
</file>